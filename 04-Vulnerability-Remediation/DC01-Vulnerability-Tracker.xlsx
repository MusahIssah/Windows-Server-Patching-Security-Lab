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2d20ca027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5540972b03a44ea"/>
    <x:sheet xmlns:r="http://schemas.openxmlformats.org/officeDocument/2006/relationships" name="Findings" sheetId="2" r:id="Rde50eb295a794796"/>
    <x:sheet xmlns:r="http://schemas.openxmlformats.org/officeDocument/2006/relationships" name="Remediation" sheetId="3" r:id="Rb353591a0c0c4aaf"/>
    <x:sheet xmlns:r="http://schemas.openxmlformats.org/officeDocument/2006/relationships" name="Evidence" sheetId="4" r:id="Rae306c03c9e24811"/>
    <x:sheet xmlns:r="http://schemas.openxmlformats.org/officeDocument/2006/relationships" name="Scan Review" sheetId="5" r:id="Rb8de43d4914b4874"/>
    <x:sheet xmlns:r="http://schemas.openxmlformats.org/officeDocument/2006/relationships" name="Guide" sheetId="6" r:id="R74cb1e8d64aa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0.00%"/>
    <x:numFmt numFmtId="202" formatCode="0.0"/>
  </x:numFmts>
  <x:fonts count="6">
    <x:font>
      <x:sz val="11"/>
      <x:name val="Carlito"/>
    </x:font>
    <x:font>
      <x:sz val="10"/>
      <x:color rgb="FF243247"/>
      <x:name val="Arial"/>
    </x:font>
    <x:font>
      <x:b/>
      <x:sz val="14"/>
      <x:color rgb="FF18354D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4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5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24583E"/>
      </x:font>
      <x:fill>
        <x:patternFill patternType="solid">
          <x:bgColor rgb="FFE3EF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eacaa28c44bba" /><Relationship Type="http://schemas.openxmlformats.org/officeDocument/2006/relationships/theme" Target="/xl/theme/theme1.xml" Id="Rfac860946b09493b" /><Relationship Type="http://schemas.openxmlformats.org/officeDocument/2006/relationships/sharedStrings" Target="/xl/sharedStrings.xml" Id="R38fe23c0d0e64c86" /><Relationship Type="http://schemas.openxmlformats.org/officeDocument/2006/relationships/worksheet" Target="/xl/worksheets/sheet1.xml" Id="Rd5540972b03a44ea" /><Relationship Type="http://schemas.openxmlformats.org/officeDocument/2006/relationships/worksheet" Target="/xl/worksheets/sheet2.xml" Id="Rde50eb295a794796" /><Relationship Type="http://schemas.openxmlformats.org/officeDocument/2006/relationships/worksheet" Target="/xl/worksheets/sheet3.xml" Id="Rb353591a0c0c4aaf" /><Relationship Type="http://schemas.openxmlformats.org/officeDocument/2006/relationships/worksheet" Target="/xl/worksheets/sheet4.xml" Id="Rae306c03c9e24811" /><Relationship Type="http://schemas.openxmlformats.org/officeDocument/2006/relationships/worksheet" Target="/xl/worksheets/sheet5.xml" Id="Rb8de43d4914b4874" /><Relationship Type="http://schemas.openxmlformats.org/officeDocument/2006/relationships/worksheet" Target="/xl/worksheets/sheet6.xml" Id="R74cb1e8d64aa4cbd" /></Relationships>
</file>

<file path=xl/tables/table1.xml><?xml version="1.0" encoding="utf-8"?>
<x:table xmlns:x="http://schemas.openxmlformats.org/spreadsheetml/2006/main" id="1" name="FindingsTable" displayName="FindingsTable" ref="A5:U7" headerRowCount="1" totalsRowCount="0" totalsRowShown="0">
  <x:tableColumns count="21">
    <x:tableColumn id="1" name="Finding ID"/>
    <x:tableColumn id="2" name="Asset / IP"/>
    <x:tableColumn id="3" name="Finding / CVE"/>
    <x:tableColumn id="4" name="Plugin ID"/>
    <x:tableColumn id="5" name="Nessus severity"/>
    <x:tableColumn id="6" name="CVSS version"/>
    <x:tableColumn id="7" name="Base score"/>
    <x:tableColumn id="8" name="VPR at baseline"/>
    <x:tableColumn id="9" name="EPSS at baseline"/>
    <x:tableColumn id="10" name="Score date"/>
    <x:tableColumn id="11" name="Lab priority / rationale"/>
    <x:tableColumn id="12" name="Status"/>
    <x:tableColumn id="13" name="Detected date"/>
    <x:tableColumn id="14" name="Target date"/>
    <x:tableColumn id="15" name="Closed date"/>
    <x:tableColumn id="16" name="Owner role"/>
    <x:tableColumn id="17" name="Change ID"/>
    <x:tableColumn id="18" name="Baseline condition"/>
    <x:tableColumn id="19" name="Verification / limits"/>
    <x:tableColumn id="20" name="Evidence IDs"/>
    <x:tableColumn id="21" name="Overd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ediationTable" displayName="RemediationTable" ref="A5:I7" headerRowCount="1" totalsRowCount="0" totalsRowShown="0">
  <x:tableColumns count="9">
    <x:tableColumn id="1" name="Change ID"/>
    <x:tableColumn id="2" name="Finding ID"/>
    <x:tableColumn id="3" name="Date"/>
    <x:tableColumn id="4" name="Implementation"/>
    <x:tableColumn id="5" name="Prior state / rollback"/>
    <x:tableColumn id="6" name="Verification"/>
    <x:tableColumn id="7" name="Status"/>
    <x:tableColumn id="8" name="Implementer / reviewer"/>
    <x:tableColumn id="9" name="Evidence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5:H18" headerRowCount="1" totalsRowCount="0" totalsRowShown="0">
  <x:tableColumns count="8">
    <x:tableColumn id="1" name="Evidence ID"/>
    <x:tableColumn id="2" name="Related record"/>
    <x:tableColumn id="3" name="Evidence title"/>
    <x:tableColumn id="4" name="Type"/>
    <x:tableColumn id="5" name="What it demonstrates"/>
    <x:tableColumn id="6" name="Source locator"/>
    <x:tableColumn id="7" name="Observed date"/>
    <x:tableColumn id="8" name="Retent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anReviewTable" displayName="ScanReviewTable" ref="A5:F9" headerRowCount="1" totalsRowCount="0" totalsRowShown="0">
  <x:tableColumns count="6">
    <x:tableColumn id="1" name="Record ID"/>
    <x:tableColumn id="2" name="Type"/>
    <x:tableColumn id="3" name="Status"/>
    <x:tableColumn id="4" name="Observation"/>
    <x:tableColumn id="5" name="Disposition / remaining action"/>
    <x:tableColumn id="6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uideTable" displayName="GuideTable" ref="A5:C16" headerRowCount="1" totalsRowCount="0" totalsRowShown="0">
  <x:tableColumns count="3">
    <x:tableColumn id="1" name="Topic"/>
    <x:tableColumn id="2" name="How to interpret / maintain"/>
    <x:tableColumn id="3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a21927c6e5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948319ec4542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b1269b7caa4d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ba25b7d3364b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c103e6e37247cb" /></Relationships>
</file>

<file path=xl/worksheets/sheet1.xml><?xml version="1.0" encoding="utf-8"?>
<x:worksheet xmlns:x="http://schemas.openxmlformats.org/spreadsheetml/2006/main">
  <x:sheetPr>
    <x:tabColor rgb="FF18354D"/>
  </x:sheetPr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4" hidden="0" customWidth="1"/>
    <x:col min="4" max="4" width="7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14" t="str">
        <x:v>DC01 | Vulnerability management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 t="str">
        <x:v>As of</x:v>
      </x:c>
      <x:c r="B4" s="15" t="d">
        <x:v>2026-10-23T00:00:00.000Z</x:v>
      </x:c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4" t="str">
        <x:v>Tracked finding status</x:v>
      </x:c>
      <x:c r="B6" s="4" t="str">
        <x:v>Count</x:v>
      </x:c>
      <x:c r="C6" s="1"/>
      <x:c r="D6" s="1" t="str">
        <x:v>Closure scope</x:v>
      </x:c>
      <x:c r="E6" s="1"/>
      <x:c r="F6" s="1"/>
      <x:c r="G6" s="1"/>
      <x:c r="H6" s="1"/>
    </x:row>
    <x:row r="7" ht="24" customHeight="1">
      <x:c r="A7" s="1" t="str">
        <x:v>Total findings</x:v>
      </x:c>
      <x:c r="B7" s="1" t="n">
        <x:f>COUNTA(Findings!A6:A205)</x:f>
        <x:v>2</x:v>
      </x:c>
      <x:c r="C7" s="1"/>
      <x:c r="D7" s="1" t="str">
        <x:v>Two tracked DC01 findings verified remediated.</x:v>
      </x:c>
      <x:c r="E7" s="1"/>
      <x:c r="F7" s="1"/>
      <x:c r="G7" s="1"/>
      <x:c r="H7" s="1"/>
    </x:row>
    <x:row r="8" ht="24" customHeight="1">
      <x:c r="A8" s="1" t="str">
        <x:v>Closed</x:v>
      </x:c>
      <x:c r="B8" s="1" t="n">
        <x:f>COUNTIFS(Findings!L6:L205,"Closed")</x:f>
        <x:v>2</x:v>
      </x:c>
      <x:c r="C8" s="1"/>
      <x:c r="D8" s="1"/>
      <x:c r="E8" s="1"/>
      <x:c r="F8" s="1"/>
      <x:c r="G8" s="1"/>
      <x:c r="H8" s="1"/>
    </x:row>
    <x:row r="9" ht="24" customHeight="1">
      <x:c r="A9" s="1" t="str">
        <x:v>Not closed</x:v>
      </x:c>
      <x:c r="B9" s="1" t="n">
        <x:f>B7-B8</x:f>
        <x:v>0</x:v>
      </x:c>
      <x:c r="C9" s="1"/>
      <x:c r="D9" s="1" t="str">
        <x:v>Administrator credential removal: operator confirmed.</x:v>
      </x:c>
      <x:c r="E9" s="1"/>
      <x:c r="F9" s="1"/>
      <x:c r="G9" s="1"/>
      <x:c r="H9" s="1"/>
    </x:row>
    <x:row r="10" ht="24" customHeight="1">
      <x:c r="A10" s="1" t="str">
        <x:v>Overdue</x:v>
      </x:c>
      <x:c r="B10" s="1" t="n">
        <x:f>COUNTIFS(Findings!U6:U205,"Overdue")</x:f>
        <x:v>0</x:v>
      </x:c>
      <x:c r="C10" s="1"/>
      <x:c r="D10" s="1"/>
      <x:c r="E10" s="1"/>
      <x:c r="F10" s="1"/>
      <x:c r="G10" s="1"/>
      <x:c r="H10" s="1"/>
    </x:row>
    <x:row r="11" ht="24" customHeight="1">
      <x:c r="A11" s="1" t="str">
        <x:v>Missing target: not closed</x:v>
      </x:c>
      <x:c r="B11" s="1" t="n">
        <x:f>COUNTIFS(Findings!U6:U205,"No target set")</x:f>
        <x:v>0</x:v>
      </x:c>
      <x:c r="C11" s="1"/>
      <x:c r="D11" s="1" t="str">
        <x:v>50 screenshots retained; evidence links use repository layout.</x:v>
      </x:c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4" t="str">
        <x:v>Final scan</x:v>
      </x:c>
      <x:c r="B14" s="4" t="str">
        <x:v>Observed result</x:v>
      </x:c>
      <x:c r="C14" s="1"/>
      <x:c r="D14" s="1" t="str">
        <x:v>Physical Hyper-V host protection was not assessed.</x:v>
      </x:c>
      <x:c r="E14" s="1"/>
      <x:c r="F14" s="1"/>
      <x:c r="G14" s="1"/>
      <x:c r="H14" s="1"/>
    </x:row>
    <x:row r="15" ht="24" customHeight="1">
      <x:c r="A15" s="1" t="str">
        <x:v>Displayed groups</x:v>
      </x:c>
      <x:c r="B15" s="1" t="n">
        <x:v>51</x:v>
      </x:c>
      <x:c r="C15" s="1"/>
      <x:c r="D15" s="1"/>
      <x:c r="E15" s="1"/>
      <x:c r="F15" s="1"/>
      <x:c r="G15" s="1"/>
      <x:c r="H15" s="1"/>
    </x:row>
    <x:row r="16" ht="24" customHeight="1">
      <x:c r="A16" s="1" t="str">
        <x:v>Informational instances</x:v>
      </x:c>
      <x:c r="B16" s="1" t="n">
        <x:v>235</x:v>
      </x:c>
      <x:c r="C16" s="1"/>
      <x:c r="D16" s="1" t="str">
        <x:v>Lab evidence; no independent approval or compliance claim.</x:v>
      </x:c>
      <x:c r="E16" s="1"/>
      <x:c r="F16" s="1"/>
      <x:c r="G16" s="1"/>
      <x:c r="H16" s="1"/>
    </x:row>
    <x:row r="17" ht="24" customHeight="1">
      <x:c r="A17" s="1" t="str">
        <x:v>Credentialed checks</x:v>
      </x:c>
      <x:c r="B17" s="1" t="str">
        <x:v>Yes / Administrator</x:v>
      </x:c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25" hidden="0" customWidth="1"/>
    <x:col min="3" max="3" width="40" hidden="0" customWidth="1"/>
    <x:col min="4" max="4" width="13" hidden="0" customWidth="1"/>
    <x:col min="5" max="5" width="16" hidden="0" customWidth="1"/>
    <x:col min="6" max="6" width="14" hidden="0" customWidth="1"/>
    <x:col min="7" max="7" width="13" hidden="0" customWidth="1"/>
    <x:col min="8" max="8" width="16" hidden="0" customWidth="1"/>
    <x:col min="9" max="9" width="17" hidden="0" customWidth="1"/>
    <x:col min="10" max="10" width="15" hidden="0" customWidth="1"/>
    <x:col min="11" max="11" width="49" hidden="0" customWidth="1"/>
    <x:col min="12" max="12" width="19" hidden="0" customWidth="1"/>
    <x:col min="13" max="13" width="15" hidden="0" customWidth="1"/>
    <x:col min="14" max="14" width="15" hidden="0" customWidth="1"/>
    <x:col min="15" max="15" width="15" hidden="0" customWidth="1"/>
    <x:col min="16" max="16" width="36" hidden="0" customWidth="1"/>
    <x:col min="17" max="17" width="19" hidden="0" customWidth="1"/>
    <x:col min="18" max="18" width="48" hidden="0" customWidth="1"/>
    <x:col min="19" max="19" width="66" hidden="0" customWidth="1"/>
    <x:col min="20" max="20" width="39" hidden="0" customWidth="1"/>
    <x:col min="21" max="21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DC01 | Vulnerability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4" customHeight="1">
      <x:c r="A5" s="7" t="str">
        <x:v>Finding ID</x:v>
      </x:c>
      <x:c r="B5" s="7" t="str">
        <x:v>Asset / IP</x:v>
      </x:c>
      <x:c r="C5" s="7" t="str">
        <x:v>Finding / CVE</x:v>
      </x:c>
      <x:c r="D5" s="7" t="str">
        <x:v>Plugin ID</x:v>
      </x:c>
      <x:c r="E5" s="7" t="str">
        <x:v>Nessus severity</x:v>
      </x:c>
      <x:c r="F5" s="7" t="str">
        <x:v>CVSS version</x:v>
      </x:c>
      <x:c r="G5" s="7" t="str">
        <x:v>Base score</x:v>
      </x:c>
      <x:c r="H5" s="7" t="str">
        <x:v>VPR at baseline</x:v>
      </x:c>
      <x:c r="I5" s="7" t="str">
        <x:v>EPSS at baseline</x:v>
      </x:c>
      <x:c r="J5" s="7" t="str">
        <x:v>Score date</x:v>
      </x:c>
      <x:c r="K5" s="7" t="str">
        <x:v>Lab priority / rationale</x:v>
      </x:c>
      <x:c r="L5" s="7" t="str">
        <x:v>Status</x:v>
      </x:c>
      <x:c r="M5" s="7" t="str">
        <x:v>Detected date</x:v>
      </x:c>
      <x:c r="N5" s="7" t="str">
        <x:v>Target date</x:v>
      </x:c>
      <x:c r="O5" s="7" t="str">
        <x:v>Closed date</x:v>
      </x:c>
      <x:c r="P5" s="7" t="str">
        <x:v>Owner role</x:v>
      </x:c>
      <x:c r="Q5" s="7" t="str">
        <x:v>Change ID</x:v>
      </x:c>
      <x:c r="R5" s="7" t="str">
        <x:v>Baseline condition</x:v>
      </x:c>
      <x:c r="S5" s="7" t="str">
        <x:v>Verification / limits</x:v>
      </x:c>
      <x:c r="T5" s="7" t="str">
        <x:v>Evidence IDs</x:v>
      </x:c>
      <x:c r="U5" s="7" t="str">
        <x:v>Overdue</x:v>
      </x:c>
    </x:row>
    <x:row r="6" ht="110" customHeight="1">
      <x:c r="A6" s="8" t="str">
        <x:v>DC01-VULN-001</x:v>
      </x:c>
      <x:c r="B6" s="8" t="str">
        <x:v>DC01 / 192.168.77.10</x:v>
      </x:c>
      <x:c r="C6" s="8" t="str">
        <x:v>WinVerifyTrust / CVE-2013-3900</x:v>
      </x:c>
      <x:c r="D6" s="8" t="n">
        <x:v>166555</x:v>
      </x:c>
      <x:c r="E6" s="8" t="str">
        <x:v>High</x:v>
      </x:c>
      <x:c r="F6" s="8" t="str">
        <x:v>3.0</x:v>
      </x:c>
      <x:c r="G6" s="11" t="n">
        <x:v>8.8</x:v>
      </x:c>
      <x:c r="H6" s="11" t="n">
        <x:v>9.5</x:v>
      </x:c>
      <x:c r="I6" s="10" t="n">
        <x:v>0.4465</x:v>
      </x:c>
      <x:c r="J6" s="9" t="d">
        <x:v>2026-10-23T00:00:00.000Z</x:v>
      </x:c>
      <x:c r="K6" s="8" t="str">
        <x:v>High: domain-controller role; high technical severity and threat prioritization. Lab judgment.</x:v>
      </x:c>
      <x:c r="L6" s="8" t="str">
        <x:v>Closed</x:v>
      </x:c>
      <x:c r="M6" s="9" t="d">
        <x:v>2026-10-23T00:00:00.000Z</x:v>
      </x:c>
      <x:c r="N6" s="9"/>
      <x:c r="O6" s="9" t="d">
        <x:v>2026-10-23T00:00:00.000Z</x:v>
      </x:c>
      <x:c r="P6" s="8" t="str">
        <x:v>Lab operator (administrator + analyst)</x:v>
      </x:c>
      <x:c r="Q6" s="8" t="str">
        <x:v>LAB-CHG-012</x:v>
      </x:c>
      <x:c r="R6" s="8" t="str">
        <x:v>EnableCertPaddingCheck absent in native and WOW6432Node paths.</x:v>
      </x:c>
      <x:c r="S6" s="8" t="str">
        <x:v>Both DWORDs = 1; restart; operator-reported services/AD console pass; authenticated rescan and no WinVerifyTrust result. Scoped scanner closure, not proof of zero risk.</x:v>
      </x:c>
      <x:c r="T6" s="8" t="str">
        <x:v>EV-003; EV-005; EV-006; EV-007; EV-008</x:v>
      </x:c>
      <x:c r="U6" s="8" t="str">
        <x:f>IF(A6="","",IF(OR(L6="Closed",L6="False positive"),"No",IF(N6="","No target set",IF(N6&lt;'Dashboard'!B4,"Overdue","Within target"))))</x:f>
        <x:v>No</x:v>
      </x:c>
    </x:row>
    <x:row r="7" ht="110" customHeight="1">
      <x:c r="A7" s="8" t="str">
        <x:v>DC01-VULN-002</x:v>
      </x:c>
      <x:c r="B7" s="8" t="str">
        <x:v>DC01 / 192.168.77.10</x:v>
      </x:c>
      <x:c r="C7" s="8" t="str">
        <x:v>Intel BHI / CVE-2022-0001</x:v>
      </x:c>
      <x:c r="D7" s="8" t="n">
        <x:v>302873</x:v>
      </x:c>
      <x:c r="E7" s="8" t="str">
        <x:v>Low</x:v>
      </x:c>
      <x:c r="F7" s="8" t="str">
        <x:v>3.0</x:v>
      </x:c>
      <x:c r="G7" s="11" t="n">
        <x:v>6.5</x:v>
      </x:c>
      <x:c r="H7" s="11" t="n">
        <x:v>3.3</x:v>
      </x:c>
      <x:c r="I7" s="10" t="n">
        <x:v>0.0046</x:v>
      </x:c>
      <x:c r="J7" s="9" t="d">
        <x:v>2026-10-23T00:00:00.000Z</x:v>
      </x:c>
      <x:c r="K7" s="8" t="str">
        <x:v>Medium: lab judgment due to DC role; local attack conditions and lower threat scores. Nessus label retained separately.</x:v>
      </x:c>
      <x:c r="L7" s="8" t="str">
        <x:v>Closed</x:v>
      </x:c>
      <x:c r="M7" s="9" t="d">
        <x:v>2026-10-23T00:00:00.000Z</x:v>
      </x:c>
      <x:c r="N7" s="9"/>
      <x:c r="O7" s="9" t="d">
        <x:v>2026-10-23T00:00:00.000Z</x:v>
      </x:c>
      <x:c r="P7" s="8" t="str">
        <x:v>Lab operator (administrator + analyst)</x:v>
      </x:c>
      <x:c r="Q7" s="8" t="str">
        <x:v>LAB-CHG-013</x:v>
      </x:c>
      <x:c r="R7" s="8" t="str">
        <x:v>FeatureSettingsOverride and mask absent.</x:v>
      </x:c>
      <x:c r="S7" s="8" t="str">
        <x:v>Override 8388608, mask 3; restart; operator-reported checks pass; authenticated all-Info scan and Windows group Info. Guest configuration only; physical host protection unverified.</x:v>
      </x:c>
      <x:c r="T7" s="8" t="str">
        <x:v>EV-004; EV-009; EV-010; EV-011; EV-012; EV-013</x:v>
      </x:c>
      <x:c r="U7" s="8" t="str">
        <x:f>IF(A7="","",IF(OR(L7="Closed",L7="False positive"),"No",IF(N7="","No target set",IF(N7&lt;'Dashboard'!B4,"Overdue","Within target"))))</x:f>
        <x:v>No</x:v>
      </x:c>
    </x:row>
    <x:row r="8">
      <x:c r="U8" t="str">
        <x:f>IF(A8="","",IF(OR(L8="Closed",L8="False positive"),"No",IF(N8="","No target set",IF(N8&lt;'Dashboard'!B4,"Overdue","Within target"))))</x:f>
      </x:c>
    </x:row>
    <x:row r="9">
      <x:c r="U9" t="str">
        <x:f>IF(A9="","",IF(OR(L9="Closed",L9="False positive"),"No",IF(N9="","No target set",IF(N9&lt;'Dashboard'!B4,"Overdue","Within target"))))</x:f>
      </x:c>
    </x:row>
    <x:row r="10">
      <x:c r="U10" t="str">
        <x:f>IF(A10="","",IF(OR(L10="Closed",L10="False positive"),"No",IF(N10="","No target set",IF(N10&lt;'Dashboard'!B4,"Overdue","Within target"))))</x:f>
      </x:c>
    </x:row>
    <x:row r="11">
      <x:c r="U11" t="str">
        <x:f>IF(A11="","",IF(OR(L11="Closed",L11="False positive"),"No",IF(N11="","No target set",IF(N11&lt;'Dashboard'!B4,"Overdue","Within target"))))</x:f>
      </x:c>
    </x:row>
    <x:row r="12">
      <x:c r="U12" t="str">
        <x:f>IF(A12="","",IF(OR(L12="Closed",L12="False positive"),"No",IF(N12="","No target set",IF(N12&lt;'Dashboard'!B4,"Overdue","Within target"))))</x:f>
      </x:c>
    </x:row>
    <x:row r="13">
      <x:c r="U13" t="str">
        <x:f>IF(A13="","",IF(OR(L13="Closed",L13="False positive"),"No",IF(N13="","No target set",IF(N13&lt;'Dashboard'!B4,"Overdue","Within target"))))</x:f>
      </x:c>
    </x:row>
    <x:row r="14">
      <x:c r="U14" t="str">
        <x:f>IF(A14="","",IF(OR(L14="Closed",L14="False positive"),"No",IF(N14="","No target set",IF(N14&lt;'Dashboard'!B4,"Overdue","Within target"))))</x:f>
      </x:c>
    </x:row>
    <x:row r="15">
      <x:c r="U15" t="str">
        <x:f>IF(A15="","",IF(OR(L15="Closed",L15="False positive"),"No",IF(N15="","No target set",IF(N15&lt;'Dashboard'!B4,"Overdue","Within target"))))</x:f>
      </x:c>
    </x:row>
    <x:row r="16">
      <x:c r="U16" t="str">
        <x:f>IF(A16="","",IF(OR(L16="Closed",L16="False positive"),"No",IF(N16="","No target set",IF(N16&lt;'Dashboard'!B4,"Overdue","Within target"))))</x:f>
      </x:c>
    </x:row>
    <x:row r="17">
      <x:c r="U17" t="str">
        <x:f>IF(A17="","",IF(OR(L17="Closed",L17="False positive"),"No",IF(N17="","No target set",IF(N17&lt;'Dashboard'!B4,"Overdue","Within target"))))</x:f>
      </x:c>
    </x:row>
    <x:row r="18">
      <x:c r="U18" t="str">
        <x:f>IF(A18="","",IF(OR(L18="Closed",L18="False positive"),"No",IF(N18="","No target set",IF(N18&lt;'Dashboard'!B4,"Overdue","Within target"))))</x:f>
      </x:c>
    </x:row>
    <x:row r="19">
      <x:c r="U19" t="str">
        <x:f>IF(A19="","",IF(OR(L19="Closed",L19="False positive"),"No",IF(N19="","No target set",IF(N19&lt;'Dashboard'!B4,"Overdue","Within target"))))</x:f>
      </x:c>
    </x:row>
    <x:row r="20">
      <x:c r="U20" t="str">
        <x:f>IF(A20="","",IF(OR(L20="Closed",L20="False positive"),"No",IF(N20="","No target set",IF(N20&lt;'Dashboard'!B4,"Overdue","Within target"))))</x:f>
      </x:c>
    </x:row>
    <x:row r="21">
      <x:c r="U21" t="str">
        <x:f>IF(A21="","",IF(OR(L21="Closed",L21="False positive"),"No",IF(N21="","No target set",IF(N21&lt;'Dashboard'!B4,"Overdue","Within target"))))</x:f>
      </x:c>
    </x:row>
    <x:row r="22">
      <x:c r="U22" t="str">
        <x:f>IF(A22="","",IF(OR(L22="Closed",L22="False positive"),"No",IF(N22="","No target set",IF(N22&lt;'Dashboard'!B4,"Overdue","Within target"))))</x:f>
      </x:c>
    </x:row>
    <x:row r="23">
      <x:c r="U23" t="str">
        <x:f>IF(A23="","",IF(OR(L23="Closed",L23="False positive"),"No",IF(N23="","No target set",IF(N23&lt;'Dashboard'!B4,"Overdue","Within target"))))</x:f>
      </x:c>
    </x:row>
    <x:row r="24">
      <x:c r="U24" t="str">
        <x:f>IF(A24="","",IF(OR(L24="Closed",L24="False positive"),"No",IF(N24="","No target set",IF(N24&lt;'Dashboard'!B4,"Overdue","Within target"))))</x:f>
      </x:c>
    </x:row>
    <x:row r="25">
      <x:c r="U25" t="str">
        <x:f>IF(A25="","",IF(OR(L25="Closed",L25="False positive"),"No",IF(N25="","No target set",IF(N25&lt;'Dashboard'!B4,"Overdue","Within target"))))</x:f>
      </x:c>
    </x:row>
    <x:row r="26">
      <x:c r="U26" t="str">
        <x:f>IF(A26="","",IF(OR(L26="Closed",L26="False positive"),"No",IF(N26="","No target set",IF(N26&lt;'Dashboard'!B4,"Overdue","Within target"))))</x:f>
      </x:c>
    </x:row>
    <x:row r="27">
      <x:c r="U27" t="str">
        <x:f>IF(A27="","",IF(OR(L27="Closed",L27="False positive"),"No",IF(N27="","No target set",IF(N27&lt;'Dashboard'!B4,"Overdue","Within target"))))</x:f>
      </x:c>
    </x:row>
    <x:row r="28">
      <x:c r="U28" t="str">
        <x:f>IF(A28="","",IF(OR(L28="Closed",L28="False positive"),"No",IF(N28="","No target set",IF(N28&lt;'Dashboard'!B4,"Overdue","Within target"))))</x:f>
      </x:c>
    </x:row>
    <x:row r="29">
      <x:c r="U29" t="str">
        <x:f>IF(A29="","",IF(OR(L29="Closed",L29="False positive"),"No",IF(N29="","No target set",IF(N29&lt;'Dashboard'!B4,"Overdue","Within target"))))</x:f>
      </x:c>
    </x:row>
    <x:row r="30">
      <x:c r="U30" t="str">
        <x:f>IF(A30="","",IF(OR(L30="Closed",L30="False positive"),"No",IF(N30="","No target set",IF(N30&lt;'Dashboard'!B4,"Overdue","Within target"))))</x:f>
      </x:c>
    </x:row>
    <x:row r="31">
      <x:c r="U31" t="str">
        <x:f>IF(A31="","",IF(OR(L31="Closed",L31="False positive"),"No",IF(N31="","No target set",IF(N31&lt;'Dashboard'!B4,"Overdue","Within target"))))</x:f>
      </x:c>
    </x:row>
    <x:row r="32">
      <x:c r="U32" t="str">
        <x:f>IF(A32="","",IF(OR(L32="Closed",L32="False positive"),"No",IF(N32="","No target set",IF(N32&lt;'Dashboard'!B4,"Overdue","Within target"))))</x:f>
      </x:c>
    </x:row>
    <x:row r="33">
      <x:c r="U33" t="str">
        <x:f>IF(A33="","",IF(OR(L33="Closed",L33="False positive"),"No",IF(N33="","No target set",IF(N33&lt;'Dashboard'!B4,"Overdue","Within target"))))</x:f>
      </x:c>
    </x:row>
    <x:row r="34">
      <x:c r="U34" t="str">
        <x:f>IF(A34="","",IF(OR(L34="Closed",L34="False positive"),"No",IF(N34="","No target set",IF(N34&lt;'Dashboard'!B4,"Overdue","Within target"))))</x:f>
      </x:c>
    </x:row>
    <x:row r="35">
      <x:c r="U35" t="str">
        <x:f>IF(A35="","",IF(OR(L35="Closed",L35="False positive"),"No",IF(N35="","No target set",IF(N35&lt;'Dashboard'!B4,"Overdue","Within target"))))</x:f>
      </x:c>
    </x:row>
    <x:row r="36">
      <x:c r="U36" t="str">
        <x:f>IF(A36="","",IF(OR(L36="Closed",L36="False positive"),"No",IF(N36="","No target set",IF(N36&lt;'Dashboard'!B4,"Overdue","Within target"))))</x:f>
      </x:c>
    </x:row>
    <x:row r="37">
      <x:c r="U37" t="str">
        <x:f>IF(A37="","",IF(OR(L37="Closed",L37="False positive"),"No",IF(N37="","No target set",IF(N37&lt;'Dashboard'!B4,"Overdue","Within target"))))</x:f>
      </x:c>
    </x:row>
    <x:row r="38">
      <x:c r="U38" t="str">
        <x:f>IF(A38="","",IF(OR(L38="Closed",L38="False positive"),"No",IF(N38="","No target set",IF(N38&lt;'Dashboard'!B4,"Overdue","Within target"))))</x:f>
      </x:c>
    </x:row>
    <x:row r="39">
      <x:c r="U39" t="str">
        <x:f>IF(A39="","",IF(OR(L39="Closed",L39="False positive"),"No",IF(N39="","No target set",IF(N39&lt;'Dashboard'!B4,"Overdue","Within target"))))</x:f>
      </x:c>
    </x:row>
    <x:row r="40">
      <x:c r="U40" t="str">
        <x:f>IF(A40="","",IF(OR(L40="Closed",L40="False positive"),"No",IF(N40="","No target set",IF(N40&lt;'Dashboard'!B4,"Overdue","Within target"))))</x:f>
      </x:c>
    </x:row>
    <x:row r="41">
      <x:c r="U41" t="str">
        <x:f>IF(A41="","",IF(OR(L41="Closed",L41="False positive"),"No",IF(N41="","No target set",IF(N41&lt;'Dashboard'!B4,"Overdue","Within target"))))</x:f>
      </x:c>
    </x:row>
    <x:row r="42">
      <x:c r="U42" t="str">
        <x:f>IF(A42="","",IF(OR(L42="Closed",L42="False positive"),"No",IF(N42="","No target set",IF(N42&lt;'Dashboard'!B4,"Overdue","Within target"))))</x:f>
      </x:c>
    </x:row>
    <x:row r="43">
      <x:c r="U43" t="str">
        <x:f>IF(A43="","",IF(OR(L43="Closed",L43="False positive"),"No",IF(N43="","No target set",IF(N43&lt;'Dashboard'!B4,"Overdue","Within target"))))</x:f>
      </x:c>
    </x:row>
    <x:row r="44">
      <x:c r="U44" t="str">
        <x:f>IF(A44="","",IF(OR(L44="Closed",L44="False positive"),"No",IF(N44="","No target set",IF(N44&lt;'Dashboard'!B4,"Overdue","Within target"))))</x:f>
      </x:c>
    </x:row>
    <x:row r="45">
      <x:c r="U45" t="str">
        <x:f>IF(A45="","",IF(OR(L45="Closed",L45="False positive"),"No",IF(N45="","No target set",IF(N45&lt;'Dashboard'!B4,"Overdue","Within target"))))</x:f>
      </x:c>
    </x:row>
    <x:row r="46">
      <x:c r="U46" t="str">
        <x:f>IF(A46="","",IF(OR(L46="Closed",L46="False positive"),"No",IF(N46="","No target set",IF(N46&lt;'Dashboard'!B4,"Overdue","Within target"))))</x:f>
      </x:c>
    </x:row>
    <x:row r="47">
      <x:c r="U47" t="str">
        <x:f>IF(A47="","",IF(OR(L47="Closed",L47="False positive"),"No",IF(N47="","No target set",IF(N47&lt;'Dashboard'!B4,"Overdue","Within target"))))</x:f>
      </x:c>
    </x:row>
    <x:row r="48">
      <x:c r="U48" t="str">
        <x:f>IF(A48="","",IF(OR(L48="Closed",L48="False positive"),"No",IF(N48="","No target set",IF(N48&lt;'Dashboard'!B4,"Overdue","Within target"))))</x:f>
      </x:c>
    </x:row>
    <x:row r="49">
      <x:c r="U49" t="str">
        <x:f>IF(A49="","",IF(OR(L49="Closed",L49="False positive"),"No",IF(N49="","No target set",IF(N49&lt;'Dashboard'!B4,"Overdue","Within target"))))</x:f>
      </x:c>
    </x:row>
    <x:row r="50">
      <x:c r="U50" t="str">
        <x:f>IF(A50="","",IF(OR(L50="Closed",L50="False positive"),"No",IF(N50="","No target set",IF(N50&lt;'Dashboard'!B4,"Overdue","Within target"))))</x:f>
      </x:c>
    </x:row>
    <x:row r="51">
      <x:c r="U51" t="str">
        <x:f>IF(A51="","",IF(OR(L51="Closed",L51="False positive"),"No",IF(N51="","No target set",IF(N51&lt;'Dashboard'!B4,"Overdue","Within target"))))</x:f>
      </x:c>
    </x:row>
    <x:row r="52">
      <x:c r="U52" t="str">
        <x:f>IF(A52="","",IF(OR(L52="Closed",L52="False positive"),"No",IF(N52="","No target set",IF(N52&lt;'Dashboard'!B4,"Overdue","Within target"))))</x:f>
      </x:c>
    </x:row>
    <x:row r="53">
      <x:c r="U53" t="str">
        <x:f>IF(A53="","",IF(OR(L53="Closed",L53="False positive"),"No",IF(N53="","No target set",IF(N53&lt;'Dashboard'!B4,"Overdue","Within target"))))</x:f>
      </x:c>
    </x:row>
    <x:row r="54">
      <x:c r="U54" t="str">
        <x:f>IF(A54="","",IF(OR(L54="Closed",L54="False positive"),"No",IF(N54="","No target set",IF(N54&lt;'Dashboard'!B4,"Overdue","Within target"))))</x:f>
      </x:c>
    </x:row>
    <x:row r="55">
      <x:c r="U55" t="str">
        <x:f>IF(A55="","",IF(OR(L55="Closed",L55="False positive"),"No",IF(N55="","No target set",IF(N55&lt;'Dashboard'!B4,"Overdue","Within target"))))</x:f>
      </x:c>
    </x:row>
    <x:row r="56">
      <x:c r="U56" t="str">
        <x:f>IF(A56="","",IF(OR(L56="Closed",L56="False positive"),"No",IF(N56="","No target set",IF(N56&lt;'Dashboard'!B4,"Overdue","Within target"))))</x:f>
      </x:c>
    </x:row>
    <x:row r="57">
      <x:c r="U57" t="str">
        <x:f>IF(A57="","",IF(OR(L57="Closed",L57="False positive"),"No",IF(N57="","No target set",IF(N57&lt;'Dashboard'!B4,"Overdue","Within target"))))</x:f>
      </x:c>
    </x:row>
    <x:row r="58">
      <x:c r="U58" t="str">
        <x:f>IF(A58="","",IF(OR(L58="Closed",L58="False positive"),"No",IF(N58="","No target set",IF(N58&lt;'Dashboard'!B4,"Overdue","Within target"))))</x:f>
      </x:c>
    </x:row>
    <x:row r="59">
      <x:c r="U59" t="str">
        <x:f>IF(A59="","",IF(OR(L59="Closed",L59="False positive"),"No",IF(N59="","No target set",IF(N59&lt;'Dashboard'!B4,"Overdue","Within target"))))</x:f>
      </x:c>
    </x:row>
    <x:row r="60">
      <x:c r="U60" t="str">
        <x:f>IF(A60="","",IF(OR(L60="Closed",L60="False positive"),"No",IF(N60="","No target set",IF(N60&lt;'Dashboard'!B4,"Overdue","Within target"))))</x:f>
      </x:c>
    </x:row>
    <x:row r="61">
      <x:c r="U61" t="str">
        <x:f>IF(A61="","",IF(OR(L61="Closed",L61="False positive"),"No",IF(N61="","No target set",IF(N61&lt;'Dashboard'!B4,"Overdue","Within target"))))</x:f>
      </x:c>
    </x:row>
    <x:row r="62">
      <x:c r="U62" t="str">
        <x:f>IF(A62="","",IF(OR(L62="Closed",L62="False positive"),"No",IF(N62="","No target set",IF(N62&lt;'Dashboard'!B4,"Overdue","Within target"))))</x:f>
      </x:c>
    </x:row>
    <x:row r="63">
      <x:c r="U63" t="str">
        <x:f>IF(A63="","",IF(OR(L63="Closed",L63="False positive"),"No",IF(N63="","No target set",IF(N63&lt;'Dashboard'!B4,"Overdue","Within target"))))</x:f>
      </x:c>
    </x:row>
    <x:row r="64">
      <x:c r="U64" t="str">
        <x:f>IF(A64="","",IF(OR(L64="Closed",L64="False positive"),"No",IF(N64="","No target set",IF(N64&lt;'Dashboard'!B4,"Overdue","Within target"))))</x:f>
      </x:c>
    </x:row>
    <x:row r="65">
      <x:c r="U65" t="str">
        <x:f>IF(A65="","",IF(OR(L65="Closed",L65="False positive"),"No",IF(N65="","No target set",IF(N65&lt;'Dashboard'!B4,"Overdue","Within target"))))</x:f>
      </x:c>
    </x:row>
    <x:row r="66">
      <x:c r="U66" t="str">
        <x:f>IF(A66="","",IF(OR(L66="Closed",L66="False positive"),"No",IF(N66="","No target set",IF(N66&lt;'Dashboard'!B4,"Overdue","Within target"))))</x:f>
      </x:c>
    </x:row>
    <x:row r="67">
      <x:c r="U67" t="str">
        <x:f>IF(A67="","",IF(OR(L67="Closed",L67="False positive"),"No",IF(N67="","No target set",IF(N67&lt;'Dashboard'!B4,"Overdue","Within target"))))</x:f>
      </x:c>
    </x:row>
    <x:row r="68">
      <x:c r="U68" t="str">
        <x:f>IF(A68="","",IF(OR(L68="Closed",L68="False positive"),"No",IF(N68="","No target set",IF(N68&lt;'Dashboard'!B4,"Overdue","Within target"))))</x:f>
      </x:c>
    </x:row>
    <x:row r="69">
      <x:c r="U69" t="str">
        <x:f>IF(A69="","",IF(OR(L69="Closed",L69="False positive"),"No",IF(N69="","No target set",IF(N69&lt;'Dashboard'!B4,"Overdue","Within target"))))</x:f>
      </x:c>
    </x:row>
    <x:row r="70">
      <x:c r="U70" t="str">
        <x:f>IF(A70="","",IF(OR(L70="Closed",L70="False positive"),"No",IF(N70="","No target set",IF(N70&lt;'Dashboard'!B4,"Overdue","Within target"))))</x:f>
      </x:c>
    </x:row>
    <x:row r="71">
      <x:c r="U71" t="str">
        <x:f>IF(A71="","",IF(OR(L71="Closed",L71="False positive"),"No",IF(N71="","No target set",IF(N71&lt;'Dashboard'!B4,"Overdue","Within target"))))</x:f>
      </x:c>
    </x:row>
    <x:row r="72">
      <x:c r="U72" t="str">
        <x:f>IF(A72="","",IF(OR(L72="Closed",L72="False positive"),"No",IF(N72="","No target set",IF(N72&lt;'Dashboard'!B4,"Overdue","Within target"))))</x:f>
      </x:c>
    </x:row>
    <x:row r="73">
      <x:c r="U73" t="str">
        <x:f>IF(A73="","",IF(OR(L73="Closed",L73="False positive"),"No",IF(N73="","No target set",IF(N73&lt;'Dashboard'!B4,"Overdue","Within target"))))</x:f>
      </x:c>
    </x:row>
    <x:row r="74">
      <x:c r="U74" t="str">
        <x:f>IF(A74="","",IF(OR(L74="Closed",L74="False positive"),"No",IF(N74="","No target set",IF(N74&lt;'Dashboard'!B4,"Overdue","Within target"))))</x:f>
      </x:c>
    </x:row>
    <x:row r="75">
      <x:c r="U75" t="str">
        <x:f>IF(A75="","",IF(OR(L75="Closed",L75="False positive"),"No",IF(N75="","No target set",IF(N75&lt;'Dashboard'!B4,"Overdue","Within target"))))</x:f>
      </x:c>
    </x:row>
    <x:row r="76">
      <x:c r="U76" t="str">
        <x:f>IF(A76="","",IF(OR(L76="Closed",L76="False positive"),"No",IF(N76="","No target set",IF(N76&lt;'Dashboard'!B4,"Overdue","Within target"))))</x:f>
      </x:c>
    </x:row>
    <x:row r="77">
      <x:c r="U77" t="str">
        <x:f>IF(A77="","",IF(OR(L77="Closed",L77="False positive"),"No",IF(N77="","No target set",IF(N77&lt;'Dashboard'!B4,"Overdue","Within target"))))</x:f>
      </x:c>
    </x:row>
    <x:row r="78">
      <x:c r="U78" t="str">
        <x:f>IF(A78="","",IF(OR(L78="Closed",L78="False positive"),"No",IF(N78="","No target set",IF(N78&lt;'Dashboard'!B4,"Overdue","Within target"))))</x:f>
      </x:c>
    </x:row>
    <x:row r="79">
      <x:c r="U79" t="str">
        <x:f>IF(A79="","",IF(OR(L79="Closed",L79="False positive"),"No",IF(N79="","No target set",IF(N79&lt;'Dashboard'!B4,"Overdue","Within target"))))</x:f>
      </x:c>
    </x:row>
    <x:row r="80">
      <x:c r="U80" t="str">
        <x:f>IF(A80="","",IF(OR(L80="Closed",L80="False positive"),"No",IF(N80="","No target set",IF(N80&lt;'Dashboard'!B4,"Overdue","Within target"))))</x:f>
      </x:c>
    </x:row>
    <x:row r="81">
      <x:c r="U81" t="str">
        <x:f>IF(A81="","",IF(OR(L81="Closed",L81="False positive"),"No",IF(N81="","No target set",IF(N81&lt;'Dashboard'!B4,"Overdue","Within target"))))</x:f>
      </x:c>
    </x:row>
    <x:row r="82">
      <x:c r="U82" t="str">
        <x:f>IF(A82="","",IF(OR(L82="Closed",L82="False positive"),"No",IF(N82="","No target set",IF(N82&lt;'Dashboard'!B4,"Overdue","Within target"))))</x:f>
      </x:c>
    </x:row>
    <x:row r="83">
      <x:c r="U83" t="str">
        <x:f>IF(A83="","",IF(OR(L83="Closed",L83="False positive"),"No",IF(N83="","No target set",IF(N83&lt;'Dashboard'!B4,"Overdue","Within target"))))</x:f>
      </x:c>
    </x:row>
    <x:row r="84">
      <x:c r="U84" t="str">
        <x:f>IF(A84="","",IF(OR(L84="Closed",L84="False positive"),"No",IF(N84="","No target set",IF(N84&lt;'Dashboard'!B4,"Overdue","Within target"))))</x:f>
      </x:c>
    </x:row>
    <x:row r="85">
      <x:c r="U85" t="str">
        <x:f>IF(A85="","",IF(OR(L85="Closed",L85="False positive"),"No",IF(N85="","No target set",IF(N85&lt;'Dashboard'!B4,"Overdue","Within target"))))</x:f>
      </x:c>
    </x:row>
    <x:row r="86">
      <x:c r="U86" t="str">
        <x:f>IF(A86="","",IF(OR(L86="Closed",L86="False positive"),"No",IF(N86="","No target set",IF(N86&lt;'Dashboard'!B4,"Overdue","Within target"))))</x:f>
      </x:c>
    </x:row>
    <x:row r="87">
      <x:c r="U87" t="str">
        <x:f>IF(A87="","",IF(OR(L87="Closed",L87="False positive"),"No",IF(N87="","No target set",IF(N87&lt;'Dashboard'!B4,"Overdue","Within target"))))</x:f>
      </x:c>
    </x:row>
    <x:row r="88">
      <x:c r="U88" t="str">
        <x:f>IF(A88="","",IF(OR(L88="Closed",L88="False positive"),"No",IF(N88="","No target set",IF(N88&lt;'Dashboard'!B4,"Overdue","Within target"))))</x:f>
      </x:c>
    </x:row>
    <x:row r="89">
      <x:c r="U89" t="str">
        <x:f>IF(A89="","",IF(OR(L89="Closed",L89="False positive"),"No",IF(N89="","No target set",IF(N89&lt;'Dashboard'!B4,"Overdue","Within target"))))</x:f>
      </x:c>
    </x:row>
    <x:row r="90">
      <x:c r="U90" t="str">
        <x:f>IF(A90="","",IF(OR(L90="Closed",L90="False positive"),"No",IF(N90="","No target set",IF(N90&lt;'Dashboard'!B4,"Overdue","Within target"))))</x:f>
      </x:c>
    </x:row>
    <x:row r="91">
      <x:c r="U91" t="str">
        <x:f>IF(A91="","",IF(OR(L91="Closed",L91="False positive"),"No",IF(N91="","No target set",IF(N91&lt;'Dashboard'!B4,"Overdue","Within target"))))</x:f>
      </x:c>
    </x:row>
    <x:row r="92">
      <x:c r="U92" t="str">
        <x:f>IF(A92="","",IF(OR(L92="Closed",L92="False positive"),"No",IF(N92="","No target set",IF(N92&lt;'Dashboard'!B4,"Overdue","Within target"))))</x:f>
      </x:c>
    </x:row>
    <x:row r="93">
      <x:c r="U93" t="str">
        <x:f>IF(A93="","",IF(OR(L93="Closed",L93="False positive"),"No",IF(N93="","No target set",IF(N93&lt;'Dashboard'!B4,"Overdue","Within target"))))</x:f>
      </x:c>
    </x:row>
    <x:row r="94">
      <x:c r="U94" t="str">
        <x:f>IF(A94="","",IF(OR(L94="Closed",L94="False positive"),"No",IF(N94="","No target set",IF(N94&lt;'Dashboard'!B4,"Overdue","Within target"))))</x:f>
      </x:c>
    </x:row>
    <x:row r="95">
      <x:c r="U95" t="str">
        <x:f>IF(A95="","",IF(OR(L95="Closed",L95="False positive"),"No",IF(N95="","No target set",IF(N95&lt;'Dashboard'!B4,"Overdue","Within target"))))</x:f>
      </x:c>
    </x:row>
    <x:row r="96">
      <x:c r="U96" t="str">
        <x:f>IF(A96="","",IF(OR(L96="Closed",L96="False positive"),"No",IF(N96="","No target set",IF(N96&lt;'Dashboard'!B4,"Overdue","Within target"))))</x:f>
      </x:c>
    </x:row>
    <x:row r="97">
      <x:c r="U97" t="str">
        <x:f>IF(A97="","",IF(OR(L97="Closed",L97="False positive"),"No",IF(N97="","No target set",IF(N97&lt;'Dashboard'!B4,"Overdue","Within target"))))</x:f>
      </x:c>
    </x:row>
    <x:row r="98">
      <x:c r="U98" t="str">
        <x:f>IF(A98="","",IF(OR(L98="Closed",L98="False positive"),"No",IF(N98="","No target set",IF(N98&lt;'Dashboard'!B4,"Overdue","Within target"))))</x:f>
      </x:c>
    </x:row>
    <x:row r="99">
      <x:c r="U99" t="str">
        <x:f>IF(A99="","",IF(OR(L99="Closed",L99="False positive"),"No",IF(N99="","No target set",IF(N99&lt;'Dashboard'!B4,"Overdue","Within target"))))</x:f>
      </x:c>
    </x:row>
    <x:row r="100">
      <x:c r="U100" t="str">
        <x:f>IF(A100="","",IF(OR(L100="Closed",L100="False positive"),"No",IF(N100="","No target set",IF(N100&lt;'Dashboard'!B4,"Overdue","Within target"))))</x:f>
      </x:c>
    </x:row>
    <x:row r="101">
      <x:c r="U101" t="str">
        <x:f>IF(A101="","",IF(OR(L101="Closed",L101="False positive"),"No",IF(N101="","No target set",IF(N101&lt;'Dashboard'!B4,"Overdue","Within target"))))</x:f>
      </x:c>
    </x:row>
    <x:row r="102">
      <x:c r="U102" t="str">
        <x:f>IF(A102="","",IF(OR(L102="Closed",L102="False positive"),"No",IF(N102="","No target set",IF(N102&lt;'Dashboard'!B4,"Overdue","Within target"))))</x:f>
      </x:c>
    </x:row>
    <x:row r="103">
      <x:c r="U103" t="str">
        <x:f>IF(A103="","",IF(OR(L103="Closed",L103="False positive"),"No",IF(N103="","No target set",IF(N103&lt;'Dashboard'!B4,"Overdue","Within target"))))</x:f>
      </x:c>
    </x:row>
    <x:row r="104">
      <x:c r="U104" t="str">
        <x:f>IF(A104="","",IF(OR(L104="Closed",L104="False positive"),"No",IF(N104="","No target set",IF(N104&lt;'Dashboard'!B4,"Overdue","Within target"))))</x:f>
      </x:c>
    </x:row>
    <x:row r="105">
      <x:c r="U105" t="str">
        <x:f>IF(A105="","",IF(OR(L105="Closed",L105="False positive"),"No",IF(N105="","No target set",IF(N105&lt;'Dashboard'!B4,"Overdue","Within target"))))</x:f>
      </x:c>
    </x:row>
    <x:row r="106">
      <x:c r="U106" t="str">
        <x:f>IF(A106="","",IF(OR(L106="Closed",L106="False positive"),"No",IF(N106="","No target set",IF(N106&lt;'Dashboard'!B4,"Overdue","Within target"))))</x:f>
      </x:c>
    </x:row>
    <x:row r="107">
      <x:c r="U107" t="str">
        <x:f>IF(A107="","",IF(OR(L107="Closed",L107="False positive"),"No",IF(N107="","No target set",IF(N107&lt;'Dashboard'!B4,"Overdue","Within target"))))</x:f>
      </x:c>
    </x:row>
    <x:row r="108">
      <x:c r="U108" t="str">
        <x:f>IF(A108="","",IF(OR(L108="Closed",L108="False positive"),"No",IF(N108="","No target set",IF(N108&lt;'Dashboard'!B4,"Overdue","Within target"))))</x:f>
      </x:c>
    </x:row>
    <x:row r="109">
      <x:c r="U109" t="str">
        <x:f>IF(A109="","",IF(OR(L109="Closed",L109="False positive"),"No",IF(N109="","No target set",IF(N109&lt;'Dashboard'!B4,"Overdue","Within target"))))</x:f>
      </x:c>
    </x:row>
    <x:row r="110">
      <x:c r="U110" t="str">
        <x:f>IF(A110="","",IF(OR(L110="Closed",L110="False positive"),"No",IF(N110="","No target set",IF(N110&lt;'Dashboard'!B4,"Overdue","Within target"))))</x:f>
      </x:c>
    </x:row>
    <x:row r="111">
      <x:c r="U111" t="str">
        <x:f>IF(A111="","",IF(OR(L111="Closed",L111="False positive"),"No",IF(N111="","No target set",IF(N111&lt;'Dashboard'!B4,"Overdue","Within target"))))</x:f>
      </x:c>
    </x:row>
    <x:row r="112">
      <x:c r="U112" t="str">
        <x:f>IF(A112="","",IF(OR(L112="Closed",L112="False positive"),"No",IF(N112="","No target set",IF(N112&lt;'Dashboard'!B4,"Overdue","Within target"))))</x:f>
      </x:c>
    </x:row>
    <x:row r="113">
      <x:c r="U113" t="str">
        <x:f>IF(A113="","",IF(OR(L113="Closed",L113="False positive"),"No",IF(N113="","No target set",IF(N113&lt;'Dashboard'!B4,"Overdue","Within target"))))</x:f>
      </x:c>
    </x:row>
    <x:row r="114">
      <x:c r="U114" t="str">
        <x:f>IF(A114="","",IF(OR(L114="Closed",L114="False positive"),"No",IF(N114="","No target set",IF(N114&lt;'Dashboard'!B4,"Overdue","Within target"))))</x:f>
      </x:c>
    </x:row>
    <x:row r="115">
      <x:c r="U115" t="str">
        <x:f>IF(A115="","",IF(OR(L115="Closed",L115="False positive"),"No",IF(N115="","No target set",IF(N115&lt;'Dashboard'!B4,"Overdue","Within target"))))</x:f>
      </x:c>
    </x:row>
    <x:row r="116">
      <x:c r="U116" t="str">
        <x:f>IF(A116="","",IF(OR(L116="Closed",L116="False positive"),"No",IF(N116="","No target set",IF(N116&lt;'Dashboard'!B4,"Overdue","Within target"))))</x:f>
      </x:c>
    </x:row>
    <x:row r="117">
      <x:c r="U117" t="str">
        <x:f>IF(A117="","",IF(OR(L117="Closed",L117="False positive"),"No",IF(N117="","No target set",IF(N117&lt;'Dashboard'!B4,"Overdue","Within target"))))</x:f>
      </x:c>
    </x:row>
    <x:row r="118">
      <x:c r="U118" t="str">
        <x:f>IF(A118="","",IF(OR(L118="Closed",L118="False positive"),"No",IF(N118="","No target set",IF(N118&lt;'Dashboard'!B4,"Overdue","Within target"))))</x:f>
      </x:c>
    </x:row>
    <x:row r="119">
      <x:c r="U119" t="str">
        <x:f>IF(A119="","",IF(OR(L119="Closed",L119="False positive"),"No",IF(N119="","No target set",IF(N119&lt;'Dashboard'!B4,"Overdue","Within target"))))</x:f>
      </x:c>
    </x:row>
    <x:row r="120">
      <x:c r="U120" t="str">
        <x:f>IF(A120="","",IF(OR(L120="Closed",L120="False positive"),"No",IF(N120="","No target set",IF(N120&lt;'Dashboard'!B4,"Overdue","Within target"))))</x:f>
      </x:c>
    </x:row>
    <x:row r="121">
      <x:c r="U121" t="str">
        <x:f>IF(A121="","",IF(OR(L121="Closed",L121="False positive"),"No",IF(N121="","No target set",IF(N121&lt;'Dashboard'!B4,"Overdue","Within target"))))</x:f>
      </x:c>
    </x:row>
    <x:row r="122">
      <x:c r="U122" t="str">
        <x:f>IF(A122="","",IF(OR(L122="Closed",L122="False positive"),"No",IF(N122="","No target set",IF(N122&lt;'Dashboard'!B4,"Overdue","Within target"))))</x:f>
      </x:c>
    </x:row>
    <x:row r="123">
      <x:c r="U123" t="str">
        <x:f>IF(A123="","",IF(OR(L123="Closed",L123="False positive"),"No",IF(N123="","No target set",IF(N123&lt;'Dashboard'!B4,"Overdue","Within target"))))</x:f>
      </x:c>
    </x:row>
    <x:row r="124">
      <x:c r="U124" t="str">
        <x:f>IF(A124="","",IF(OR(L124="Closed",L124="False positive"),"No",IF(N124="","No target set",IF(N124&lt;'Dashboard'!B4,"Overdue","Within target"))))</x:f>
      </x:c>
    </x:row>
    <x:row r="125">
      <x:c r="U125" t="str">
        <x:f>IF(A125="","",IF(OR(L125="Closed",L125="False positive"),"No",IF(N125="","No target set",IF(N125&lt;'Dashboard'!B4,"Overdue","Within target"))))</x:f>
      </x:c>
    </x:row>
    <x:row r="126">
      <x:c r="U126" t="str">
        <x:f>IF(A126="","",IF(OR(L126="Closed",L126="False positive"),"No",IF(N126="","No target set",IF(N126&lt;'Dashboard'!B4,"Overdue","Within target"))))</x:f>
      </x:c>
    </x:row>
    <x:row r="127">
      <x:c r="U127" t="str">
        <x:f>IF(A127="","",IF(OR(L127="Closed",L127="False positive"),"No",IF(N127="","No target set",IF(N127&lt;'Dashboard'!B4,"Overdue","Within target"))))</x:f>
      </x:c>
    </x:row>
    <x:row r="128">
      <x:c r="U128" t="str">
        <x:f>IF(A128="","",IF(OR(L128="Closed",L128="False positive"),"No",IF(N128="","No target set",IF(N128&lt;'Dashboard'!B4,"Overdue","Within target"))))</x:f>
      </x:c>
    </x:row>
    <x:row r="129">
      <x:c r="U129" t="str">
        <x:f>IF(A129="","",IF(OR(L129="Closed",L129="False positive"),"No",IF(N129="","No target set",IF(N129&lt;'Dashboard'!B4,"Overdue","Within target"))))</x:f>
      </x:c>
    </x:row>
    <x:row r="130">
      <x:c r="U130" t="str">
        <x:f>IF(A130="","",IF(OR(L130="Closed",L130="False positive"),"No",IF(N130="","No target set",IF(N130&lt;'Dashboard'!B4,"Overdue","Within target"))))</x:f>
      </x:c>
    </x:row>
    <x:row r="131">
      <x:c r="U131" t="str">
        <x:f>IF(A131="","",IF(OR(L131="Closed",L131="False positive"),"No",IF(N131="","No target set",IF(N131&lt;'Dashboard'!B4,"Overdue","Within target"))))</x:f>
      </x:c>
    </x:row>
    <x:row r="132">
      <x:c r="U132" t="str">
        <x:f>IF(A132="","",IF(OR(L132="Closed",L132="False positive"),"No",IF(N132="","No target set",IF(N132&lt;'Dashboard'!B4,"Overdue","Within target"))))</x:f>
      </x:c>
    </x:row>
    <x:row r="133">
      <x:c r="U133" t="str">
        <x:f>IF(A133="","",IF(OR(L133="Closed",L133="False positive"),"No",IF(N133="","No target set",IF(N133&lt;'Dashboard'!B4,"Overdue","Within target"))))</x:f>
      </x:c>
    </x:row>
    <x:row r="134">
      <x:c r="U134" t="str">
        <x:f>IF(A134="","",IF(OR(L134="Closed",L134="False positive"),"No",IF(N134="","No target set",IF(N134&lt;'Dashboard'!B4,"Overdue","Within target"))))</x:f>
      </x:c>
    </x:row>
    <x:row r="135">
      <x:c r="U135" t="str">
        <x:f>IF(A135="","",IF(OR(L135="Closed",L135="False positive"),"No",IF(N135="","No target set",IF(N135&lt;'Dashboard'!B4,"Overdue","Within target"))))</x:f>
      </x:c>
    </x:row>
    <x:row r="136">
      <x:c r="U136" t="str">
        <x:f>IF(A136="","",IF(OR(L136="Closed",L136="False positive"),"No",IF(N136="","No target set",IF(N136&lt;'Dashboard'!B4,"Overdue","Within target"))))</x:f>
      </x:c>
    </x:row>
    <x:row r="137">
      <x:c r="U137" t="str">
        <x:f>IF(A137="","",IF(OR(L137="Closed",L137="False positive"),"No",IF(N137="","No target set",IF(N137&lt;'Dashboard'!B4,"Overdue","Within target"))))</x:f>
      </x:c>
    </x:row>
    <x:row r="138">
      <x:c r="U138" t="str">
        <x:f>IF(A138="","",IF(OR(L138="Closed",L138="False positive"),"No",IF(N138="","No target set",IF(N138&lt;'Dashboard'!B4,"Overdue","Within target"))))</x:f>
      </x:c>
    </x:row>
    <x:row r="139">
      <x:c r="U139" t="str">
        <x:f>IF(A139="","",IF(OR(L139="Closed",L139="False positive"),"No",IF(N139="","No target set",IF(N139&lt;'Dashboard'!B4,"Overdue","Within target"))))</x:f>
      </x:c>
    </x:row>
    <x:row r="140">
      <x:c r="U140" t="str">
        <x:f>IF(A140="","",IF(OR(L140="Closed",L140="False positive"),"No",IF(N140="","No target set",IF(N140&lt;'Dashboard'!B4,"Overdue","Within target"))))</x:f>
      </x:c>
    </x:row>
    <x:row r="141">
      <x:c r="U141" t="str">
        <x:f>IF(A141="","",IF(OR(L141="Closed",L141="False positive"),"No",IF(N141="","No target set",IF(N141&lt;'Dashboard'!B4,"Overdue","Within target"))))</x:f>
      </x:c>
    </x:row>
    <x:row r="142">
      <x:c r="U142" t="str">
        <x:f>IF(A142="","",IF(OR(L142="Closed",L142="False positive"),"No",IF(N142="","No target set",IF(N142&lt;'Dashboard'!B4,"Overdue","Within target"))))</x:f>
      </x:c>
    </x:row>
    <x:row r="143">
      <x:c r="U143" t="str">
        <x:f>IF(A143="","",IF(OR(L143="Closed",L143="False positive"),"No",IF(N143="","No target set",IF(N143&lt;'Dashboard'!B4,"Overdue","Within target"))))</x:f>
      </x:c>
    </x:row>
    <x:row r="144">
      <x:c r="U144" t="str">
        <x:f>IF(A144="","",IF(OR(L144="Closed",L144="False positive"),"No",IF(N144="","No target set",IF(N144&lt;'Dashboard'!B4,"Overdue","Within target"))))</x:f>
      </x:c>
    </x:row>
    <x:row r="145">
      <x:c r="U145" t="str">
        <x:f>IF(A145="","",IF(OR(L145="Closed",L145="False positive"),"No",IF(N145="","No target set",IF(N145&lt;'Dashboard'!B4,"Overdue","Within target"))))</x:f>
      </x:c>
    </x:row>
    <x:row r="146">
      <x:c r="U146" t="str">
        <x:f>IF(A146="","",IF(OR(L146="Closed",L146="False positive"),"No",IF(N146="","No target set",IF(N146&lt;'Dashboard'!B4,"Overdue","Within target"))))</x:f>
      </x:c>
    </x:row>
    <x:row r="147">
      <x:c r="U147" t="str">
        <x:f>IF(A147="","",IF(OR(L147="Closed",L147="False positive"),"No",IF(N147="","No target set",IF(N147&lt;'Dashboard'!B4,"Overdue","Within target"))))</x:f>
      </x:c>
    </x:row>
    <x:row r="148">
      <x:c r="U148" t="str">
        <x:f>IF(A148="","",IF(OR(L148="Closed",L148="False positive"),"No",IF(N148="","No target set",IF(N148&lt;'Dashboard'!B4,"Overdue","Within target"))))</x:f>
      </x:c>
    </x:row>
    <x:row r="149">
      <x:c r="U149" t="str">
        <x:f>IF(A149="","",IF(OR(L149="Closed",L149="False positive"),"No",IF(N149="","No target set",IF(N149&lt;'Dashboard'!B4,"Overdue","Within target"))))</x:f>
      </x:c>
    </x:row>
    <x:row r="150">
      <x:c r="U150" t="str">
        <x:f>IF(A150="","",IF(OR(L150="Closed",L150="False positive"),"No",IF(N150="","No target set",IF(N150&lt;'Dashboard'!B4,"Overdue","Within target"))))</x:f>
      </x:c>
    </x:row>
    <x:row r="151">
      <x:c r="U151" t="str">
        <x:f>IF(A151="","",IF(OR(L151="Closed",L151="False positive"),"No",IF(N151="","No target set",IF(N151&lt;'Dashboard'!B4,"Overdue","Within target"))))</x:f>
      </x:c>
    </x:row>
    <x:row r="152">
      <x:c r="U152" t="str">
        <x:f>IF(A152="","",IF(OR(L152="Closed",L152="False positive"),"No",IF(N152="","No target set",IF(N152&lt;'Dashboard'!B4,"Overdue","Within target"))))</x:f>
      </x:c>
    </x:row>
    <x:row r="153">
      <x:c r="U153" t="str">
        <x:f>IF(A153="","",IF(OR(L153="Closed",L153="False positive"),"No",IF(N153="","No target set",IF(N153&lt;'Dashboard'!B4,"Overdue","Within target"))))</x:f>
      </x:c>
    </x:row>
    <x:row r="154">
      <x:c r="U154" t="str">
        <x:f>IF(A154="","",IF(OR(L154="Closed",L154="False positive"),"No",IF(N154="","No target set",IF(N154&lt;'Dashboard'!B4,"Overdue","Within target"))))</x:f>
      </x:c>
    </x:row>
    <x:row r="155">
      <x:c r="U155" t="str">
        <x:f>IF(A155="","",IF(OR(L155="Closed",L155="False positive"),"No",IF(N155="","No target set",IF(N155&lt;'Dashboard'!B4,"Overdue","Within target"))))</x:f>
      </x:c>
    </x:row>
    <x:row r="156">
      <x:c r="U156" t="str">
        <x:f>IF(A156="","",IF(OR(L156="Closed",L156="False positive"),"No",IF(N156="","No target set",IF(N156&lt;'Dashboard'!B4,"Overdue","Within target"))))</x:f>
      </x:c>
    </x:row>
    <x:row r="157">
      <x:c r="U157" t="str">
        <x:f>IF(A157="","",IF(OR(L157="Closed",L157="False positive"),"No",IF(N157="","No target set",IF(N157&lt;'Dashboard'!B4,"Overdue","Within target"))))</x:f>
      </x:c>
    </x:row>
    <x:row r="158">
      <x:c r="U158" t="str">
        <x:f>IF(A158="","",IF(OR(L158="Closed",L158="False positive"),"No",IF(N158="","No target set",IF(N158&lt;'Dashboard'!B4,"Overdue","Within target"))))</x:f>
      </x:c>
    </x:row>
    <x:row r="159">
      <x:c r="U159" t="str">
        <x:f>IF(A159="","",IF(OR(L159="Closed",L159="False positive"),"No",IF(N159="","No target set",IF(N159&lt;'Dashboard'!B4,"Overdue","Within target"))))</x:f>
      </x:c>
    </x:row>
    <x:row r="160">
      <x:c r="U160" t="str">
        <x:f>IF(A160="","",IF(OR(L160="Closed",L160="False positive"),"No",IF(N160="","No target set",IF(N160&lt;'Dashboard'!B4,"Overdue","Within target"))))</x:f>
      </x:c>
    </x:row>
    <x:row r="161">
      <x:c r="U161" t="str">
        <x:f>IF(A161="","",IF(OR(L161="Closed",L161="False positive"),"No",IF(N161="","No target set",IF(N161&lt;'Dashboard'!B4,"Overdue","Within target"))))</x:f>
      </x:c>
    </x:row>
    <x:row r="162">
      <x:c r="U162" t="str">
        <x:f>IF(A162="","",IF(OR(L162="Closed",L162="False positive"),"No",IF(N162="","No target set",IF(N162&lt;'Dashboard'!B4,"Overdue","Within target"))))</x:f>
      </x:c>
    </x:row>
    <x:row r="163">
      <x:c r="U163" t="str">
        <x:f>IF(A163="","",IF(OR(L163="Closed",L163="False positive"),"No",IF(N163="","No target set",IF(N163&lt;'Dashboard'!B4,"Overdue","Within target"))))</x:f>
      </x:c>
    </x:row>
    <x:row r="164">
      <x:c r="U164" t="str">
        <x:f>IF(A164="","",IF(OR(L164="Closed",L164="False positive"),"No",IF(N164="","No target set",IF(N164&lt;'Dashboard'!B4,"Overdue","Within target"))))</x:f>
      </x:c>
    </x:row>
    <x:row r="165">
      <x:c r="U165" t="str">
        <x:f>IF(A165="","",IF(OR(L165="Closed",L165="False positive"),"No",IF(N165="","No target set",IF(N165&lt;'Dashboard'!B4,"Overdue","Within target"))))</x:f>
      </x:c>
    </x:row>
    <x:row r="166">
      <x:c r="U166" t="str">
        <x:f>IF(A166="","",IF(OR(L166="Closed",L166="False positive"),"No",IF(N166="","No target set",IF(N166&lt;'Dashboard'!B4,"Overdue","Within target"))))</x:f>
      </x:c>
    </x:row>
    <x:row r="167">
      <x:c r="U167" t="str">
        <x:f>IF(A167="","",IF(OR(L167="Closed",L167="False positive"),"No",IF(N167="","No target set",IF(N167&lt;'Dashboard'!B4,"Overdue","Within target"))))</x:f>
      </x:c>
    </x:row>
    <x:row r="168">
      <x:c r="U168" t="str">
        <x:f>IF(A168="","",IF(OR(L168="Closed",L168="False positive"),"No",IF(N168="","No target set",IF(N168&lt;'Dashboard'!B4,"Overdue","Within target"))))</x:f>
      </x:c>
    </x:row>
    <x:row r="169">
      <x:c r="U169" t="str">
        <x:f>IF(A169="","",IF(OR(L169="Closed",L169="False positive"),"No",IF(N169="","No target set",IF(N169&lt;'Dashboard'!B4,"Overdue","Within target"))))</x:f>
      </x:c>
    </x:row>
    <x:row r="170">
      <x:c r="U170" t="str">
        <x:f>IF(A170="","",IF(OR(L170="Closed",L170="False positive"),"No",IF(N170="","No target set",IF(N170&lt;'Dashboard'!B4,"Overdue","Within target"))))</x:f>
      </x:c>
    </x:row>
    <x:row r="171">
      <x:c r="U171" t="str">
        <x:f>IF(A171="","",IF(OR(L171="Closed",L171="False positive"),"No",IF(N171="","No target set",IF(N171&lt;'Dashboard'!B4,"Overdue","Within target"))))</x:f>
      </x:c>
    </x:row>
    <x:row r="172">
      <x:c r="U172" t="str">
        <x:f>IF(A172="","",IF(OR(L172="Closed",L172="False positive"),"No",IF(N172="","No target set",IF(N172&lt;'Dashboard'!B4,"Overdue","Within target"))))</x:f>
      </x:c>
    </x:row>
    <x:row r="173">
      <x:c r="U173" t="str">
        <x:f>IF(A173="","",IF(OR(L173="Closed",L173="False positive"),"No",IF(N173="","No target set",IF(N173&lt;'Dashboard'!B4,"Overdue","Within target"))))</x:f>
      </x:c>
    </x:row>
    <x:row r="174">
      <x:c r="U174" t="str">
        <x:f>IF(A174="","",IF(OR(L174="Closed",L174="False positive"),"No",IF(N174="","No target set",IF(N174&lt;'Dashboard'!B4,"Overdue","Within target"))))</x:f>
      </x:c>
    </x:row>
    <x:row r="175">
      <x:c r="U175" t="str">
        <x:f>IF(A175="","",IF(OR(L175="Closed",L175="False positive"),"No",IF(N175="","No target set",IF(N175&lt;'Dashboard'!B4,"Overdue","Within target"))))</x:f>
      </x:c>
    </x:row>
    <x:row r="176">
      <x:c r="U176" t="str">
        <x:f>IF(A176="","",IF(OR(L176="Closed",L176="False positive"),"No",IF(N176="","No target set",IF(N176&lt;'Dashboard'!B4,"Overdue","Within target"))))</x:f>
      </x:c>
    </x:row>
    <x:row r="177">
      <x:c r="U177" t="str">
        <x:f>IF(A177="","",IF(OR(L177="Closed",L177="False positive"),"No",IF(N177="","No target set",IF(N177&lt;'Dashboard'!B4,"Overdue","Within target"))))</x:f>
      </x:c>
    </x:row>
    <x:row r="178">
      <x:c r="U178" t="str">
        <x:f>IF(A178="","",IF(OR(L178="Closed",L178="False positive"),"No",IF(N178="","No target set",IF(N178&lt;'Dashboard'!B4,"Overdue","Within target"))))</x:f>
      </x:c>
    </x:row>
    <x:row r="179">
      <x:c r="U179" t="str">
        <x:f>IF(A179="","",IF(OR(L179="Closed",L179="False positive"),"No",IF(N179="","No target set",IF(N179&lt;'Dashboard'!B4,"Overdue","Within target"))))</x:f>
      </x:c>
    </x:row>
    <x:row r="180">
      <x:c r="U180" t="str">
        <x:f>IF(A180="","",IF(OR(L180="Closed",L180="False positive"),"No",IF(N180="","No target set",IF(N180&lt;'Dashboard'!B4,"Overdue","Within target"))))</x:f>
      </x:c>
    </x:row>
    <x:row r="181">
      <x:c r="U181" t="str">
        <x:f>IF(A181="","",IF(OR(L181="Closed",L181="False positive"),"No",IF(N181="","No target set",IF(N181&lt;'Dashboard'!B4,"Overdue","Within target"))))</x:f>
      </x:c>
    </x:row>
    <x:row r="182">
      <x:c r="U182" t="str">
        <x:f>IF(A182="","",IF(OR(L182="Closed",L182="False positive"),"No",IF(N182="","No target set",IF(N182&lt;'Dashboard'!B4,"Overdue","Within target"))))</x:f>
      </x:c>
    </x:row>
    <x:row r="183">
      <x:c r="U183" t="str">
        <x:f>IF(A183="","",IF(OR(L183="Closed",L183="False positive"),"No",IF(N183="","No target set",IF(N183&lt;'Dashboard'!B4,"Overdue","Within target"))))</x:f>
      </x:c>
    </x:row>
    <x:row r="184">
      <x:c r="U184" t="str">
        <x:f>IF(A184="","",IF(OR(L184="Closed",L184="False positive"),"No",IF(N184="","No target set",IF(N184&lt;'Dashboard'!B4,"Overdue","Within target"))))</x:f>
      </x:c>
    </x:row>
    <x:row r="185">
      <x:c r="U185" t="str">
        <x:f>IF(A185="","",IF(OR(L185="Closed",L185="False positive"),"No",IF(N185="","No target set",IF(N185&lt;'Dashboard'!B4,"Overdue","Within target"))))</x:f>
      </x:c>
    </x:row>
    <x:row r="186">
      <x:c r="U186" t="str">
        <x:f>IF(A186="","",IF(OR(L186="Closed",L186="False positive"),"No",IF(N186="","No target set",IF(N186&lt;'Dashboard'!B4,"Overdue","Within target"))))</x:f>
      </x:c>
    </x:row>
    <x:row r="187">
      <x:c r="U187" t="str">
        <x:f>IF(A187="","",IF(OR(L187="Closed",L187="False positive"),"No",IF(N187="","No target set",IF(N187&lt;'Dashboard'!B4,"Overdue","Within target"))))</x:f>
      </x:c>
    </x:row>
    <x:row r="188">
      <x:c r="U188" t="str">
        <x:f>IF(A188="","",IF(OR(L188="Closed",L188="False positive"),"No",IF(N188="","No target set",IF(N188&lt;'Dashboard'!B4,"Overdue","Within target"))))</x:f>
      </x:c>
    </x:row>
    <x:row r="189">
      <x:c r="U189" t="str">
        <x:f>IF(A189="","",IF(OR(L189="Closed",L189="False positive"),"No",IF(N189="","No target set",IF(N189&lt;'Dashboard'!B4,"Overdue","Within target"))))</x:f>
      </x:c>
    </x:row>
    <x:row r="190">
      <x:c r="U190" t="str">
        <x:f>IF(A190="","",IF(OR(L190="Closed",L190="False positive"),"No",IF(N190="","No target set",IF(N190&lt;'Dashboard'!B4,"Overdue","Within target"))))</x:f>
      </x:c>
    </x:row>
    <x:row r="191">
      <x:c r="U191" t="str">
        <x:f>IF(A191="","",IF(OR(L191="Closed",L191="False positive"),"No",IF(N191="","No target set",IF(N191&lt;'Dashboard'!B4,"Overdue","Within target"))))</x:f>
      </x:c>
    </x:row>
    <x:row r="192">
      <x:c r="U192" t="str">
        <x:f>IF(A192="","",IF(OR(L192="Closed",L192="False positive"),"No",IF(N192="","No target set",IF(N192&lt;'Dashboard'!B4,"Overdue","Within target"))))</x:f>
      </x:c>
    </x:row>
    <x:row r="193">
      <x:c r="U193" t="str">
        <x:f>IF(A193="","",IF(OR(L193="Closed",L193="False positive"),"No",IF(N193="","No target set",IF(N193&lt;'Dashboard'!B4,"Overdue","Within target"))))</x:f>
      </x:c>
    </x:row>
    <x:row r="194">
      <x:c r="U194" t="str">
        <x:f>IF(A194="","",IF(OR(L194="Closed",L194="False positive"),"No",IF(N194="","No target set",IF(N194&lt;'Dashboard'!B4,"Overdue","Within target"))))</x:f>
      </x:c>
    </x:row>
    <x:row r="195">
      <x:c r="U195" t="str">
        <x:f>IF(A195="","",IF(OR(L195="Closed",L195="False positive"),"No",IF(N195="","No target set",IF(N195&lt;'Dashboard'!B4,"Overdue","Within target"))))</x:f>
      </x:c>
    </x:row>
    <x:row r="196">
      <x:c r="U196" t="str">
        <x:f>IF(A196="","",IF(OR(L196="Closed",L196="False positive"),"No",IF(N196="","No target set",IF(N196&lt;'Dashboard'!B4,"Overdue","Within target"))))</x:f>
      </x:c>
    </x:row>
    <x:row r="197">
      <x:c r="U197" t="str">
        <x:f>IF(A197="","",IF(OR(L197="Closed",L197="False positive"),"No",IF(N197="","No target set",IF(N197&lt;'Dashboard'!B4,"Overdue","Within target"))))</x:f>
      </x:c>
    </x:row>
    <x:row r="198">
      <x:c r="U198" t="str">
        <x:f>IF(A198="","",IF(OR(L198="Closed",L198="False positive"),"No",IF(N198="","No target set",IF(N198&lt;'Dashboard'!B4,"Overdue","Within target"))))</x:f>
      </x:c>
    </x:row>
    <x:row r="199">
      <x:c r="U199" t="str">
        <x:f>IF(A199="","",IF(OR(L199="Closed",L199="False positive"),"No",IF(N199="","No target set",IF(N199&lt;'Dashboard'!B4,"Overdue","Within target"))))</x:f>
      </x:c>
    </x:row>
    <x:row r="200">
      <x:c r="U200" t="str">
        <x:f>IF(A200="","",IF(OR(L200="Closed",L200="False positive"),"No",IF(N200="","No target set",IF(N200&lt;'Dashboard'!B4,"Overdue","Within target"))))</x:f>
      </x:c>
    </x:row>
    <x:row r="201">
      <x:c r="U201" t="str">
        <x:f>IF(A201="","",IF(OR(L201="Closed",L201="False positive"),"No",IF(N201="","No target set",IF(N201&lt;'Dashboard'!B4,"Overdue","Within target"))))</x:f>
      </x:c>
    </x:row>
    <x:row r="202">
      <x:c r="U202" t="str">
        <x:f>IF(A202="","",IF(OR(L202="Closed",L202="False positive"),"No",IF(N202="","No target set",IF(N202&lt;'Dashboard'!B4,"Overdue","Within target"))))</x:f>
      </x:c>
    </x:row>
    <x:row r="203">
      <x:c r="U203" t="str">
        <x:f>IF(A203="","",IF(OR(L203="Closed",L203="False positive"),"No",IF(N203="","No target set",IF(N203&lt;'Dashboard'!B4,"Overdue","Within target"))))</x:f>
      </x:c>
    </x:row>
    <x:row r="204">
      <x:c r="U204" t="str">
        <x:f>IF(A204="","",IF(OR(L204="Closed",L204="False positive"),"No",IF(N204="","No target set",IF(N204&lt;'Dashboard'!B4,"Overdue","Within target"))))</x:f>
      </x:c>
    </x:row>
    <x:row r="205">
      <x:c r="U205" t="str">
        <x:f>IF(A205="","",IF(OR(L205="Closed",L205="False positive"),"No",IF(N205="","No target set",IF(N205&lt;'Dashboard'!B4,"Overdue","Within target"))))</x:f>
      </x:c>
    </x:row>
  </x:sheetData>
  <x:conditionalFormatting sqref="L6:L205">
    <x:cfRule type="containsText" dxfId="0" priority="1" operator="containsText" text="Closed"/>
  </x:conditionalFormatting>
  <x:dataValidations count="1">
    <x:dataValidation type="list" sqref="L6:L205">
      <x:formula1>"Open,In progress,Pending verification,Closed,Risk accepted,False positive"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a21927c6e543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5" hidden="0" customWidth="1"/>
    <x:col min="4" max="4" width="72" hidden="0" customWidth="1"/>
    <x:col min="5" max="5" width="67" hidden="0" customWidth="1"/>
    <x:col min="6" max="6" width="72" hidden="0" customWidth="1"/>
    <x:col min="7" max="7" width="25" hidden="0" customWidth="1"/>
    <x:col min="8" max="8" width="57" hidden="0" customWidth="1"/>
    <x:col min="9" max="9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DC01 | Change and validation log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7" t="str">
        <x:v>Change ID</x:v>
      </x:c>
      <x:c r="B5" s="7" t="str">
        <x:v>Finding ID</x:v>
      </x:c>
      <x:c r="C5" s="7" t="str">
        <x:v>Date</x:v>
      </x:c>
      <x:c r="D5" s="7" t="str">
        <x:v>Implementation</x:v>
      </x:c>
      <x:c r="E5" s="7" t="str">
        <x:v>Prior state / rollback</x:v>
      </x:c>
      <x:c r="F5" s="7" t="str">
        <x:v>Verification</x:v>
      </x:c>
      <x:c r="G5" s="7" t="str">
        <x:v>Status</x:v>
      </x:c>
      <x:c r="H5" s="7" t="str">
        <x:v>Implementer / reviewer</x:v>
      </x:c>
      <x:c r="I5" s="7" t="str">
        <x:v>Evidence IDs</x:v>
      </x:c>
    </x:row>
    <x:row r="6" ht="145" customHeight="1">
      <x:c r="A6" s="8" t="str">
        <x:v>LAB-CHG-012</x:v>
      </x:c>
      <x:c r="B6" s="8" t="str">
        <x:v>DC01-VULN-001</x:v>
      </x:c>
      <x:c r="C6" s="9" t="d">
        <x:v>2026-10-23T00:00:00.000Z</x:v>
      </x:c>
      <x:c r="D6" s="8" t="str">
        <x:v>LAB - DC01 Security Hardening; Registry Preferences Update; HKLM native and WOW6432Node Wintrust\Config: EnableCertPaddingCheck DWORD 1. Linked Domain Controllers OU, DC01$ filter, not enforced.</x:v>
      </x:c>
      <x:c r="E6" s="8" t="str">
        <x:v>Both values absent before. Rollback requires explicit removal of newly introduced values after preventing GPP reapplication. Unlink alone does not remove values. Rollback not exercised.</x:v>
      </x:c>
      <x:c r="F6" s="8" t="str">
        <x:v>gpupdate success; gpresult applied; both values 0x1; restart and service checks operator-reported; credentialed rescan no WinVerifyTrust finding.</x:v>
      </x:c>
      <x:c r="G6" s="8" t="str">
        <x:v>Verified implemented</x:v>
      </x:c>
      <x:c r="H6" s="8" t="str">
        <x:v>Lab operator performed implementation and review; no independent approval claimed.</x:v>
      </x:c>
      <x:c r="I6" s="8" t="str">
        <x:v>EV-003; EV-005; EV-006; EV-007; EV-008</x:v>
      </x:c>
    </x:row>
    <x:row r="7" ht="145" customHeight="1">
      <x:c r="A7" s="8" t="str">
        <x:v>LAB-CHG-013</x:v>
      </x:c>
      <x:c r="B7" s="8" t="str">
        <x:v>DC01-VULN-002</x:v>
      </x:c>
      <x:c r="C7" s="9" t="d">
        <x:v>2026-10-23T00:00:00.000Z</x:v>
      </x:c>
      <x:c r="D7" s="8" t="str">
        <x:v>Same DC01-only GPO: HKLM SYSTEM\CurrentControlSet\Control\Session Manager\Memory Management; FeatureSettingsOverride DWORD 8388608; FeatureSettingsOverrideMask DWORD 3.</x:v>
      </x:c>
      <x:c r="E7" s="8" t="str">
        <x:v>Both values absent before. Explicitly remove introduced values after preventing reapplication if rollback needed; restart; validate. Rollback not exercised.</x:v>
      </x:c>
      <x:c r="F7" s="8" t="str">
        <x:v>gpupdate success; values 0x800000 and 0x3; restart/service checks operator-reported; final authenticated scan all Info; Windows group Info.</x:v>
      </x:c>
      <x:c r="G7" s="8" t="str">
        <x:v>Verified implemented</x:v>
      </x:c>
      <x:c r="H7" s="8" t="str">
        <x:v>Lab operator performed implementation and review; no independent approval claimed.</x:v>
      </x:c>
      <x:c r="I7" s="8" t="str">
        <x:v>EV-009; EV-010; EV-011; EV-012; EV-013</x:v>
      </x:c>
    </x:row>
  </x:sheetData>
  <x:pageMargins left="0.7" right="0.7" top="0.75" bottom="0.75" header="0.3" footer="0.3"/>
  <x:tableParts count="1">
    <x:tablePart xmlns:r="http://schemas.openxmlformats.org/officeDocument/2006/relationships" r:id="R86948319ec4542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43" hidden="0" customWidth="1"/>
    <x:col min="4" max="4" width="20" hidden="0" customWidth="1"/>
    <x:col min="5" max="5" width="68" hidden="0" customWidth="1"/>
    <x:col min="6" max="6" width="90" hidden="0" customWidth="1"/>
    <x:col min="7" max="7" width="16" hidden="0" customWidth="1"/>
    <x:col min="8" max="8" width="51" hidden="0" customWidth="1"/>
    <x:col min="9" max="9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DC01 | Evidence index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7" t="str">
        <x:v>Evidence ID</x:v>
      </x:c>
      <x:c r="B5" s="7" t="str">
        <x:v>Related record</x:v>
      </x:c>
      <x:c r="C5" s="7" t="str">
        <x:v>Evidence title</x:v>
      </x:c>
      <x:c r="D5" s="7" t="str">
        <x:v>Type</x:v>
      </x:c>
      <x:c r="E5" s="7" t="str">
        <x:v>What it demonstrates</x:v>
      </x:c>
      <x:c r="F5" s="7" t="str">
        <x:v>Source locator</x:v>
      </x:c>
      <x:c r="G5" s="7" t="str">
        <x:v>Observed date</x:v>
      </x:c>
      <x:c r="H5" s="7" t="str">
        <x:v>Retention status</x:v>
      </x:c>
      <x:c r="I5" s="13" t="str">
        <x:v>Evidence link</x:v>
      </x:c>
    </x:row>
    <x:row r="6" ht="72" customHeight="1">
      <x:c r="A6" s="8" t="str">
        <x:v>EV-001</x:v>
      </x:c>
      <x:c r="B6" s="8" t="str">
        <x:v>DC01-SCAN-001</x:v>
      </x:c>
      <x:c r="C6" s="8" t="str">
        <x:v>Initial limited scan / valid SMB login / WMI denied</x:v>
      </x:c>
      <x:c r="D6" s="8" t="str">
        <x:v>Screenshots</x:v>
      </x:c>
      <x:c r="E6" s="8" t="str">
        <x:v>Initial Auth Fail; 19506 credentialed checks no; 141118 valid svc_nessus SMB login; 135860 WMI unavailable; direct WMI access denied.</x:v>
      </x:c>
      <x:c r="F6" s="8" t="str">
        <x:v>DC01-Initial-Scan-Auth-Fail.png; DC01-Initial-Credentialed-Checks-No.png; DC01-Initial-SMB-Valid-Credentials-Output.png; DC01-Initial-WMI-Not-Available.png; DC01-Scanner-WMI-Access-Denied-01.png</x:v>
      </x:c>
      <x:c r="G6" s="9" t="d">
        <x:v>2026-10-23T00:00:00.000Z</x:v>
      </x:c>
      <x:c r="H6" s="8" t="str">
        <x:v>Retained in repository evidence folder; linked to first capture. See evidence README for full inventory.</x:v>
      </x:c>
      <x:c r="I6" t="e">
        <x:f>HYPERLINK("../06-Evidence/Phase-4-Vulnerability-Assessment/DC01/DC01-Initial-Scan-Auth-Fail.png","Open evidence")</x:f>
        <x:v>HYPERLINK is not implemented. linkLocation=../06-Evidence/Phase-4-Vulnerability-Assessment/DC01/DC01-Initial-Scan-Auth-Fail.png, friendlyName=Open evidence</x:v>
      </x:c>
    </x:row>
    <x:row r="7" ht="72" customHeight="1">
      <x:c r="A7" s="8" t="str">
        <x:v>EV-002</x:v>
      </x:c>
      <x:c r="B7" s="8" t="str">
        <x:v>DC01-SCAN-001</x:v>
      </x:c>
      <x:c r="C7" s="8" t="str">
        <x:v>Privileged scan coverage</x:v>
      </x:c>
      <x:c r="D7" s="8" t="str">
        <x:v>Screenshots</x:v>
      </x:c>
      <x:c r="E7" s="8" t="str">
        <x:v>19506 yes as NORTHSTAR\Administrator; 110095 no privilege/access problems via SMB.</x:v>
      </x:c>
      <x:c r="F7" s="8" t="str">
        <x:v>DC01-Privileged-Baseline-Credentialed-Checks.png; DC01-Privileged-No-Credential-Issues-Output.png</x:v>
      </x:c>
      <x:c r="G7" s="9" t="d">
        <x:v>2026-10-23T00:00:00.000Z</x:v>
      </x:c>
      <x:c r="H7" s="8" t="str">
        <x:v>Retained in repository evidence folder; linked to first capture. See evidence README for full inventory.</x:v>
      </x:c>
      <x:c r="I7" t="e">
        <x:f>HYPERLINK("../06-Evidence/Phase-4-Vulnerability-Assessment/DC01/DC01-Privileged-Baseline-Credentialed-Checks.png","Open evidence")</x:f>
        <x:v>HYPERLINK is not implemented. linkLocation=../06-Evidence/Phase-4-Vulnerability-Assessment/DC01/DC01-Privileged-Baseline-Credentialed-Checks.png, friendlyName=Open evidence</x:v>
      </x:c>
    </x:row>
    <x:row r="8" ht="72" customHeight="1">
      <x:c r="A8" s="8" t="str">
        <x:v>EV-003</x:v>
      </x:c>
      <x:c r="B8" s="8" t="str">
        <x:v>DC01-VULN-001</x:v>
      </x:c>
      <x:c r="C8" s="8" t="str">
        <x:v>WinVerifyTrust baseline details and scores</x:v>
      </x:c>
      <x:c r="D8" s="8" t="str">
        <x:v>Screenshots</x:v>
      </x:c>
      <x:c r="E8" s="8" t="str">
        <x:v>Both values absent; CVSS 8.8 / VPR 9.5 / EPSS .4465.</x:v>
      </x:c>
      <x:c r="F8" s="8" t="str">
        <x:v>DC01-WinVerifyTrust-Baseline-Details.png; DC01-WinVerifyTrust-Baseline-Output-Scores.png</x:v>
      </x:c>
      <x:c r="G8" s="9" t="d">
        <x:v>2026-10-23T00:00:00.000Z</x:v>
      </x:c>
      <x:c r="H8" s="8" t="str">
        <x:v>Retained in repository evidence folder; linked to first capture. See evidence README for full inventory.</x:v>
      </x:c>
      <x:c r="I8" t="e">
        <x:f>HYPERLINK("../06-Evidence/Phase-4-Vulnerability-Assessment/DC01/DC01-WinVerifyTrust-Baseline-Details.png","Open evidence")</x:f>
        <x:v>HYPERLINK is not implemented. linkLocation=../06-Evidence/Phase-4-Vulnerability-Assessment/DC01/DC01-WinVerifyTrust-Baseline-Details.png, friendlyName=Open evidence</x:v>
      </x:c>
    </x:row>
    <x:row r="9" ht="72" customHeight="1">
      <x:c r="A9" s="8" t="str">
        <x:v>EV-004</x:v>
      </x:c>
      <x:c r="B9" s="8" t="str">
        <x:v>DC01-VULN-002</x:v>
      </x:c>
      <x:c r="C9" s="8" t="str">
        <x:v>Intel BHI baseline details and scores</x:v>
      </x:c>
      <x:c r="D9" s="8" t="str">
        <x:v>Screenshots</x:v>
      </x:c>
      <x:c r="E9" s="8" t="str">
        <x:v>Override and mask Not Set; Low / CVSS 6.5 / VPR 3.3 / EPSS .0046.</x:v>
      </x:c>
      <x:c r="F9" s="8" t="str">
        <x:v>DC01-Intel-BHI-Baseline-Details.png; DC01-Intel-BHI-Baseline-Recommendations-Scores.png</x:v>
      </x:c>
      <x:c r="G9" s="9" t="d">
        <x:v>2026-10-23T00:00:00.000Z</x:v>
      </x:c>
      <x:c r="H9" s="8" t="str">
        <x:v>Retained in repository evidence folder; linked to first capture. See evidence README for full inventory.</x:v>
      </x:c>
      <x:c r="I9" t="e">
        <x:f>HYPERLINK("../06-Evidence/Phase-4-Vulnerability-Assessment/DC01/DC01-Intel-BHI-Baseline-Details.png","Open evidence")</x:f>
        <x:v>HYPERLINK is not implemented. linkLocation=../06-Evidence/Phase-4-Vulnerability-Assessment/DC01/DC01-Intel-BHI-Baseline-Details.png, friendlyName=Open evidence</x:v>
      </x:c>
    </x:row>
    <x:row r="10" ht="72" customHeight="1">
      <x:c r="A10" s="8" t="str">
        <x:v>EV-005</x:v>
      </x:c>
      <x:c r="B10" s="8" t="str">
        <x:v>LAB-CHG-012</x:v>
      </x:c>
      <x:c r="C10" s="8" t="str">
        <x:v>GPO scope and application</x:v>
      </x:c>
      <x:c r="D10" s="8" t="str">
        <x:v>Screenshots</x:v>
      </x:c>
      <x:c r="E10" s="8" t="str">
        <x:v>Domain Controllers link enabled, not enforced; DC01$ only; gpresult applied.</x:v>
      </x:c>
      <x:c r="F10" s="8" t="str">
        <x:v>DC01-Hardening-GPO-Security-Filtering.png; DC01-Hardening-GPO-Domain-Controllers-Link.png; DC01-Hardening-GPO-Applied.png</x:v>
      </x:c>
      <x:c r="G10" s="9" t="d">
        <x:v>2026-10-23T00:00:00.000Z</x:v>
      </x:c>
      <x:c r="H10" s="8" t="str">
        <x:v>Retained in repository evidence folder; linked to first capture. See evidence README for full inventory.</x:v>
      </x:c>
      <x:c r="I10" t="e">
        <x:f>HYPERLINK("../06-Evidence/Phase-4-Vulnerability-Assessment/DC01/DC01-Hardening-GPO-Security-Filtering.png","Open evidence")</x:f>
        <x:v>HYPERLINK is not implemented. linkLocation=../06-Evidence/Phase-4-Vulnerability-Assessment/DC01/DC01-Hardening-GPO-Security-Filtering.png, friendlyName=Open evidence</x:v>
      </x:c>
    </x:row>
    <x:row r="11" ht="72" customHeight="1">
      <x:c r="A11" s="8" t="str">
        <x:v>EV-006</x:v>
      </x:c>
      <x:c r="B11" s="8" t="str">
        <x:v>LAB-CHG-012</x:v>
      </x:c>
      <x:c r="C11" s="8" t="str">
        <x:v>Native and WOW6432Node values after</x:v>
      </x:c>
      <x:c r="D11" s="8" t="str">
        <x:v>Screenshot</x:v>
      </x:c>
      <x:c r="E11" s="8" t="str">
        <x:v>Both EnableCertPaddingCheck values REG_DWORD 0x1.</x:v>
      </x:c>
      <x:c r="F11" s="8" t="str">
        <x:v>DC01-WinVerifyTrust-Registry-After.png</x:v>
      </x:c>
      <x:c r="G11" s="9" t="d">
        <x:v>2026-10-23T00:00:00.000Z</x:v>
      </x:c>
      <x:c r="H11" s="8" t="str">
        <x:v>Retained in repository evidence folder; linked to first capture. See evidence README for full inventory.</x:v>
      </x:c>
      <x:c r="I11" t="e">
        <x:f>HYPERLINK("../06-Evidence/Phase-4-Vulnerability-Assessment/DC01/DC01-WinVerifyTrust-Registry-After.png","Open evidence")</x:f>
        <x:v>HYPERLINK is not implemented. linkLocation=../06-Evidence/Phase-4-Vulnerability-Assessment/DC01/DC01-WinVerifyTrust-Registry-After.png, friendlyName=Open evidence</x:v>
      </x:c>
    </x:row>
    <x:row r="12" ht="72" customHeight="1">
      <x:c r="A12" s="8" t="str">
        <x:v>EV-007</x:v>
      </x:c>
      <x:c r="B12" s="8" t="str">
        <x:v>LAB-CHG-012</x:v>
      </x:c>
      <x:c r="C12" s="8" t="str">
        <x:v>Post-restart health</x:v>
      </x:c>
      <x:c r="D12" s="8" t="str">
        <x:v>Operator report</x:v>
      </x:c>
      <x:c r="E12" s="8" t="str">
        <x:v>AD DS, DNS, Netlogon, KDC running; ADUC displays ad.northstar.test.</x:v>
      </x:c>
      <x:c r="F12" s="8" t="str">
        <x:v>User confirmation in chat; no screenshot claimed.</x:v>
      </x:c>
      <x:c r="G12" s="9" t="d">
        <x:v>2026-10-23T00:00:00.000Z</x:v>
      </x:c>
      <x:c r="H12" s="8" t="str">
        <x:v>Operator-confirmed in conversation; no screenshot claimed.</x:v>
      </x:c>
    </x:row>
    <x:row r="13" ht="72" customHeight="1">
      <x:c r="A13" s="8" t="str">
        <x:v>EV-008</x:v>
      </x:c>
      <x:c r="B13" s="8" t="str">
        <x:v>DC01-VULN-001</x:v>
      </x:c>
      <x:c r="C13" s="8" t="str">
        <x:v>WinVerifyTrust verification</x:v>
      </x:c>
      <x:c r="D13" s="8" t="str">
        <x:v>Screenshots</x:v>
      </x:c>
      <x:c r="E13" s="8" t="str">
        <x:v>Auth Pass / 19506 yes / same feed; no records for WinVerifyTrust; overview no High segment.</x:v>
      </x:c>
      <x:c r="F13" s="8" t="str">
        <x:v>DC01-WinVerifyTrust-Rescan-Credentialed-Checks.png; DC01-WinVerifyTrust-Verification-Not-Detected.png</x:v>
      </x:c>
      <x:c r="G13" s="9" t="d">
        <x:v>2026-10-23T00:00:00.000Z</x:v>
      </x:c>
      <x:c r="H13" s="8" t="str">
        <x:v>Retained in repository evidence folder; linked to first capture. See evidence README for full inventory.</x:v>
      </x:c>
      <x:c r="I13" t="e">
        <x:f>HYPERLINK("../06-Evidence/Phase-4-Vulnerability-Assessment/DC01/DC01-WinVerifyTrust-Rescan-Credentialed-Checks.png","Open evidence")</x:f>
        <x:v>HYPERLINK is not implemented. linkLocation=../06-Evidence/Phase-4-Vulnerability-Assessment/DC01/DC01-WinVerifyTrust-Rescan-Credentialed-Checks.png, friendlyName=Open evidence</x:v>
      </x:c>
    </x:row>
    <x:row r="14" ht="72" customHeight="1">
      <x:c r="A14" s="8" t="str">
        <x:v>EV-009</x:v>
      </x:c>
      <x:c r="B14" s="8" t="str">
        <x:v>LAB-CHG-013</x:v>
      </x:c>
      <x:c r="C14" s="8" t="str">
        <x:v>BHI local values before</x:v>
      </x:c>
      <x:c r="D14" s="8" t="str">
        <x:v>Screenshot</x:v>
      </x:c>
      <x:c r="E14" s="8" t="str">
        <x:v>Both registry queries report value/key not found.</x:v>
      </x:c>
      <x:c r="F14" s="8" t="str">
        <x:v>DC01-BHI-Registry-Before.png</x:v>
      </x:c>
      <x:c r="G14" s="9" t="d">
        <x:v>2026-10-23T00:00:00.000Z</x:v>
      </x:c>
      <x:c r="H14" s="8" t="str">
        <x:v>Retained in repository evidence folder; linked to first capture. See evidence README for full inventory.</x:v>
      </x:c>
      <x:c r="I14" t="e">
        <x:f>HYPERLINK("../06-Evidence/Phase-4-Vulnerability-Assessment/DC01/DC01-BHI-Registry-Before.png","Open evidence")</x:f>
        <x:v>HYPERLINK is not implemented. linkLocation=../06-Evidence/Phase-4-Vulnerability-Assessment/DC01/DC01-BHI-Registry-Before.png, friendlyName=Open evidence</x:v>
      </x:c>
    </x:row>
    <x:row r="15" ht="72" customHeight="1">
      <x:c r="A15" s="8" t="str">
        <x:v>EV-010</x:v>
      </x:c>
      <x:c r="B15" s="8" t="str">
        <x:v>LAB-CHG-013</x:v>
      </x:c>
      <x:c r="C15" s="8" t="str">
        <x:v>Four GPO registry items</x:v>
      </x:c>
      <x:c r="D15" s="8" t="str">
        <x:v>Screenshot</x:v>
      </x:c>
      <x:c r="E15" s="8" t="str">
        <x:v>Two cert-padding values retained; BHI data 00800000 and 00000003.</x:v>
      </x:c>
      <x:c r="F15" s="8" t="str">
        <x:v>DC01-Hardening-GPO-Four-Registry-Items.png</x:v>
      </x:c>
      <x:c r="G15" s="9" t="d">
        <x:v>2026-10-23T00:00:00.000Z</x:v>
      </x:c>
      <x:c r="H15" s="8" t="str">
        <x:v>Retained in repository evidence folder; linked to first capture. See evidence README for full inventory.</x:v>
      </x:c>
      <x:c r="I15" t="e">
        <x:f>HYPERLINK("../06-Evidence/Phase-4-Vulnerability-Assessment/DC01/DC01-Hardening-GPO-Four-Registry-Items.png","Open evidence")</x:f>
        <x:v>HYPERLINK is not implemented. linkLocation=../06-Evidence/Phase-4-Vulnerability-Assessment/DC01/DC01-Hardening-GPO-Four-Registry-Items.png, friendlyName=Open evidence</x:v>
      </x:c>
    </x:row>
    <x:row r="16" ht="72" customHeight="1">
      <x:c r="A16" s="8" t="str">
        <x:v>EV-011</x:v>
      </x:c>
      <x:c r="B16" s="8" t="str">
        <x:v>LAB-CHG-013</x:v>
      </x:c>
      <x:c r="C16" s="8" t="str">
        <x:v>BHI local values after</x:v>
      </x:c>
      <x:c r="D16" s="8" t="str">
        <x:v>Screenshot</x:v>
      </x:c>
      <x:c r="E16" s="8" t="str">
        <x:v>Policy refreshed; override 0x800000 and mask 0x3.</x:v>
      </x:c>
      <x:c r="F16" s="8" t="str">
        <x:v>DC01-BHI-Registry-After.png</x:v>
      </x:c>
      <x:c r="G16" s="9" t="d">
        <x:v>2026-10-23T00:00:00.000Z</x:v>
      </x:c>
      <x:c r="H16" s="8" t="str">
        <x:v>Retained in repository evidence folder; linked to first capture. See evidence README for full inventory.</x:v>
      </x:c>
      <x:c r="I16" t="e">
        <x:f>HYPERLINK("../06-Evidence/Phase-4-Vulnerability-Assessment/DC01/DC01-BHI-Registry-After.png","Open evidence")</x:f>
        <x:v>HYPERLINK is not implemented. linkLocation=../06-Evidence/Phase-4-Vulnerability-Assessment/DC01/DC01-BHI-Registry-After.png, friendlyName=Open evidence</x:v>
      </x:c>
    </x:row>
    <x:row r="17" ht="72" customHeight="1">
      <x:c r="A17" s="8" t="str">
        <x:v>EV-012</x:v>
      </x:c>
      <x:c r="B17" s="8" t="str">
        <x:v>DC01-VULN-002</x:v>
      </x:c>
      <x:c r="C17" s="8" t="str">
        <x:v>Final credentialed rescan and Windows group</x:v>
      </x:c>
      <x:c r="D17" s="8" t="str">
        <x:v>Screenshots</x:v>
      </x:c>
      <x:c r="E17" s="8" t="str">
        <x:v>Auth Pass; credentialed checks yes; same feed; all Info; Windows group Info.</x:v>
      </x:c>
      <x:c r="F17" s="8" t="str">
        <x:v>DC01-Final-Rescan-Overview.png; DC01-Final-Rescan-Credentialed-Checks.png; DC01-Final-Rescan-Windows-Group-Info.png</x:v>
      </x:c>
      <x:c r="G17" s="9" t="d">
        <x:v>2026-10-23T00:00:00.000Z</x:v>
      </x:c>
      <x:c r="H17" s="8" t="str">
        <x:v>Retained in repository evidence folder; linked to first capture. See evidence README for full inventory.</x:v>
      </x:c>
      <x:c r="I17" t="e">
        <x:f>HYPERLINK("../06-Evidence/Phase-4-Vulnerability-Assessment/DC01/DC01-Final-Rescan-Overview.png","Open evidence")</x:f>
        <x:v>HYPERLINK is not implemented. linkLocation=../06-Evidence/Phase-4-Vulnerability-Assessment/DC01/DC01-Final-Rescan-Overview.png, friendlyName=Open evidence</x:v>
      </x:c>
    </x:row>
    <x:row r="18" ht="72" customHeight="1">
      <x:c r="A18" s="8" t="str">
        <x:v>EV-013</x:v>
      </x:c>
      <x:c r="B18" s="8" t="str">
        <x:v>LAB-CHG-013</x:v>
      </x:c>
      <x:c r="C18" s="8" t="str">
        <x:v>Post-restart health</x:v>
      </x:c>
      <x:c r="D18" s="8" t="str">
        <x:v>Operator report</x:v>
      </x:c>
      <x:c r="E18" s="8" t="str">
        <x:v>User stated all listed service and ADUC checks passed.</x:v>
      </x:c>
      <x:c r="F18" s="8" t="str">
        <x:v>User confirmation: They all passed; no screenshot claimed.</x:v>
      </x:c>
      <x:c r="G18" s="9" t="d">
        <x:v>2026-10-23T00:00:00.000Z</x:v>
      </x:c>
      <x:c r="H18" s="8" t="str">
        <x:v>Operator-confirmed in conversation; no screenshot claimed.</x:v>
      </x:c>
    </x:row>
  </x:sheetData>
  <x:pageMargins left="0.7" right="0.7" top="0.75" bottom="0.75" header="0.3" footer="0.3"/>
  <x:tableParts count="1">
    <x:tablePart xmlns:r="http://schemas.openxmlformats.org/officeDocument/2006/relationships" r:id="R4db1269b7caa4d3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5" hidden="0" customWidth="1"/>
    <x:col min="4" max="4" width="76" hidden="0" customWidth="1"/>
    <x:col min="5" max="5" width="85" hidden="0" customWidth="1"/>
    <x:col min="6" max="6" width="44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DC01 | Coverage and exceptions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7" t="str">
        <x:v>Record ID</x:v>
      </x:c>
      <x:c r="B5" s="7" t="str">
        <x:v>Type</x:v>
      </x:c>
      <x:c r="C5" s="7" t="str">
        <x:v>Status</x:v>
      </x:c>
      <x:c r="D5" s="7" t="str">
        <x:v>Observation</x:v>
      </x:c>
      <x:c r="E5" s="7" t="str">
        <x:v>Disposition / remaining action</x:v>
      </x:c>
      <x:c r="F5" s="7" t="str">
        <x:v>Evidence</x:v>
      </x:c>
    </x:row>
    <x:row r="6" ht="110" customHeight="1">
      <x:c r="A6" s="8" t="str">
        <x:v>DC01-SCAN-001</x:v>
      </x:c>
      <x:c r="B6" s="8" t="str">
        <x:v>Scan quality</x:v>
      </x:c>
      <x:c r="C6" s="8" t="str">
        <x:v>Resolved</x:v>
      </x:c>
      <x:c r="D6" s="8" t="str">
        <x:v>svc_nessus authenticated to SMB but credentialed checks no; WMI access denied.</x:v>
      </x:c>
      <x:c r="E6" s="8" t="str">
        <x:v>Resolved for this scan by replacing scan credentials with existing Administrator. svc_nessus privileges unchanged.</x:v>
      </x:c>
      <x:c r="F6" s="8" t="str">
        <x:v>EV-001; EV-002</x:v>
      </x:c>
    </x:row>
    <x:row r="7" ht="110" customHeight="1">
      <x:c r="A7" s="8" t="str">
        <x:v>DC01-OBS-001</x:v>
      </x:c>
      <x:c r="B7" s="8" t="str">
        <x:v>Historical discrepancy</x:v>
      </x:c>
      <x:c r="C7" s="8" t="str">
        <x:v>Unverified</x:v>
      </x:c>
      <x:c r="D7" s="8" t="str">
        <x:v>Initial limited scan showed truncated High Microsoft Windows SMB Shares finding. Not observed in later privileged scan.</x:v>
      </x:c>
      <x:c r="E7" s="8" t="str">
        <x:v>Do not label remediated or false positive. Full initial plugin identity/output and reproduction not established. Retain as historical discrepancy.</x:v>
      </x:c>
      <x:c r="F7" s="8" t="str">
        <x:v>Initial limited-scan screenshot in chat</x:v>
      </x:c>
    </x:row>
    <x:row r="8" ht="110" customHeight="1">
      <x:c r="A8" s="8" t="str">
        <x:v>DC01-ADMIN-001</x:v>
      </x:c>
      <x:c r="B8" s="8" t="str">
        <x:v>Credential cleanup</x:v>
      </x:c>
      <x:c r="C8" s="8" t="str">
        <x:v>Completed — operator confirmed</x:v>
      </x:c>
      <x:c r="D8" s="8" t="str">
        <x:v>User confirmed removal of the saved Windows Administrator credential and saving the scan configuration.</x:v>
      </x:c>
      <x:c r="E8" s="8" t="str">
        <x:v>Completion based on user confirmation, not independent configuration inspection. Historical results retained; no passwords recorded here.</x:v>
      </x:c>
      <x:c r="F8" s="8" t="str">
        <x:v>User confirmation in conversation, October 23, 2026</x:v>
      </x:c>
    </x:row>
    <x:row r="9" ht="110" customHeight="1">
      <x:c r="A9" s="8" t="str">
        <x:v>DC01-SCOPE-001</x:v>
      </x:c>
      <x:c r="B9" s="8" t="str">
        <x:v>Assessment limitation</x:v>
      </x:c>
      <x:c r="C9" s="8" t="str">
        <x:v>Recorded</x:v>
      </x:c>
      <x:c r="D9" s="8" t="str">
        <x:v>Final scan has 51 displayed groups and 235 Info instances; Basic Network Scan, default ports, safe checks, delayed feed 202609232334.</x:v>
      </x:c>
      <x:c r="E9" s="8" t="str">
        <x:v>Closure applies to two tracked configuration findings. No assertion of zero vulnerabilities, full compliance, independent approval, or physical host protection.</x:v>
      </x:c>
      <x:c r="F9" s="8" t="str">
        <x:v>EV-012</x:v>
      </x:c>
    </x:row>
  </x:sheetData>
  <x:pageMargins left="0.7" right="0.7" top="0.75" bottom="0.75" header="0.3" footer="0.3"/>
  <x:tableParts count="1">
    <x:tablePart xmlns:r="http://schemas.openxmlformats.org/officeDocument/2006/relationships" r:id="Re9ba25b7d3364b7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10" hidden="0" customWidth="1"/>
    <x:col min="3" max="3" width="100" hidden="0" customWidth="1"/>
  </x:cols>
  <x:sheetData>
    <x:row r="1">
      <x:c r="A1" s="1"/>
      <x:c r="B1" s="1"/>
      <x:c r="C1" s="1"/>
    </x:row>
    <x:row r="2">
      <x:c r="A2" s="2" t="str">
        <x:v>Using this lab tracker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4" customHeight="1">
      <x:c r="A5" s="7" t="str">
        <x:v>Topic</x:v>
      </x:c>
      <x:c r="B5" s="7" t="str">
        <x:v>How to interpret / maintain</x:v>
      </x:c>
      <x:c r="C5" s="7" t="str">
        <x:v>Source</x:v>
      </x:c>
    </x:row>
    <x:row r="6" ht="110" customHeight="1">
      <x:c r="A6" s="8" t="str">
        <x:v>CVSS</x:v>
      </x:c>
      <x:c r="B6" s="8" t="str">
        <x:v>Technical severity; retain score version and vector in supporting evidence. CVSS 6.5 and Nessus Low may differ; preserve both. Baseline scores stay unchanged when status closes.</x:v>
      </x:c>
      <x:c r="C6" s="8" t="str">
        <x:v>User-provided Nessus plugin 166555 and 302873 screenshots</x:v>
      </x:c>
    </x:row>
    <x:row r="7" ht="110" customHeight="1">
      <x:c r="A7" s="8" t="str">
        <x:v>VPR</x:v>
      </x:c>
      <x:c r="B7" s="8" t="str">
        <x:v>Tenable prioritization score (0-10) changes with threat assessment; preserve baseline and observation date. Not a probability.</x:v>
      </x:c>
      <x:c r="C7" s="8" t="str">
        <x:v>https://www.tenable.com/plugins/nessus/166555</x:v>
      </x:c>
    </x:row>
    <x:row r="8" ht="110" customHeight="1">
      <x:c r="A8" s="8" t="str">
        <x:v>EPSS</x:v>
      </x:c>
      <x:c r="B8" s="8" t="str">
        <x:v>Probability of CVE exploitation in the wild within the next 30 days; .4465 = 44.65%. Not probability this specific DC is compromised. Store as numeric percentage and date it.</x:v>
      </x:c>
      <x:c r="C8" s="8" t="str">
        <x:v>https://www.first.org/epss/</x:v>
      </x:c>
    </x:row>
    <x:row r="9" ht="110" customHeight="1">
      <x:c r="A9" s="8" t="str">
        <x:v>Workflow</x:v>
      </x:c>
      <x:c r="B9" s="8" t="str">
        <x:v>Validate scan coverage &gt; record finding/evidence &gt; assign owner and target &gt; plan change/rollback &gt; implement &gt; operational checks &gt; authenticated rescan &gt; verify closure.</x:v>
      </x:c>
      <x:c r="C9" s="8" t="str">
        <x:v>Lab workflow agreed in this conversation</x:v>
      </x:c>
    </x:row>
    <x:row r="10" ht="110" customHeight="1">
      <x:c r="A10" s="8" t="str">
        <x:v>Updating</x:v>
      </x:c>
      <x:c r="B10" s="8" t="str">
        <x:v>Add findings in rows 8-205 of Findings; copy row structure, keep stable IDs, and extend table. Dashboard formulas cover rows 6-205. Overdue uses Dashboard as-of date; change that date for later reviews.</x:v>
      </x:c>
      <x:c r="C10" s="8" t="str">
        <x:v>Workbook design</x:v>
      </x:c>
    </x:row>
    <x:row r="11" ht="110" customHeight="1">
      <x:c r="A11" s="8" t="str">
        <x:v>Targets and approvals</x:v>
      </x:c>
      <x:c r="B11" s="8" t="str">
        <x:v>Target dates blank because no policy/SLA was supplied. Set an agreed date for future open findings; no retrospective SLA or independent approval invented. Lab operator fills owner role; name not asserted.</x:v>
      </x:c>
      <x:c r="C11" s="8" t="str">
        <x:v>Conversation scope</x:v>
      </x:c>
    </x:row>
    <x:row r="12" ht="110" customHeight="1">
      <x:c r="A12" s="8" t="str">
        <x:v>Evidence retention</x:v>
      </x:c>
      <x:c r="B12" s="8" t="str">
        <x:v>50 original screenshots retained in source archive; descriptive publication copies in 06-Evidence/Phase-4-Vulnerability-Assessment/DC01. Evidence links resolve relative to this workbook in 04-Vulnerability-Remediation. Download the repository together to preserve local links. No raw .nessus exports claimed.</x:v>
      </x:c>
      <x:c r="C12" s="8" t="str">
        <x:v>User-provided screenshots and operator statements, October 23, 2026</x:v>
      </x:c>
    </x:row>
    <x:row r="13" ht="110" customHeight="1">
      <x:c r="A13" s="8" t="str">
        <x:v>Closure</x:v>
      </x:c>
      <x:c r="B13" s="8" t="str">
        <x:v>Close only with finding-specific evidence, correct settings, operational validation and successful authenticated verification. Risk acceptance requires a separate documented decision and review date.</x:v>
      </x:c>
      <x:c r="C13" s="8" t="str">
        <x:v>Lab workflow</x:v>
      </x:c>
    </x:row>
    <x:row r="14" ht="110" customHeight="1">
      <x:c r="A14" s="8" t="str">
        <x:v>Scope limits</x:v>
      </x:c>
      <x:c r="B14" s="8" t="str">
        <x:v>This workbook covers DC01 only, two confirmed findings, two changes and scan-access exceptions. Previous member-server assessments remain separately documented on GitHub.</x:v>
      </x:c>
      <x:c r="C14" s="8" t="str">
        <x:v>https://github.com/MusahIssah/Windows-Server-Patching-Security-Lab</x:v>
      </x:c>
    </x:row>
    <x:row r="15" ht="110" customHeight="1">
      <x:c r="A15" s="8" t="str">
        <x:v>BHI guidance</x:v>
      </x:c>
      <x:c r="B15" s="8" t="str">
        <x:v>Guest configuration: override 8388608 and mask 3; targeted BHI mitigation. Host/firmware protection and full speculative-execution coverage not established.</x:v>
      </x:c>
      <x:c r="C15" s="8" t="str">
        <x:v>https://support.microsoft.com/en-us/servicing/os/windows-server/2019/12/kb4072698-windows-server-and-azure-stack-hci-guidance-to-protect-against-silicon-based-microarchitec</x:v>
      </x:c>
    </x:row>
    <x:row r="16" ht="110" customHeight="1">
      <x:c r="A16" s="8" t="str">
        <x:v>WinVerifyTrust guidance</x:v>
      </x:c>
      <x:c r="B16" s="8" t="str">
        <x:v>Native and WOW6432Node EnableCertPaddingCheck DWORD 1; retain baseline and verification evidence.</x:v>
      </x:c>
      <x:c r="C16" s="8" t="str">
        <x:v>https://msrc.microsoft.com/update-guide/vulnerability/CVE-2013-3900</x:v>
      </x:c>
    </x:row>
  </x:sheetData>
  <x:pageMargins left="0.7" right="0.7" top="0.75" bottom="0.75" header="0.3" footer="0.3"/>
  <x:tableParts count="1">
    <x:tablePart xmlns:r="http://schemas.openxmlformats.org/officeDocument/2006/relationships" r:id="R8bc103e6e37247cb"/>
  </x:tableParts>
</x:worksheet>
</file>